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 Master" sheetId="1" state="visible" r:id="rId3"/>
    <sheet name="Sponsorship Targets" sheetId="2" state="visible" r:id="rId4"/>
  </sheets>
  <definedNames>
    <definedName function="false" hidden="true" localSheetId="0" name="_xlnm._FilterDatabase" vbProcedure="false">'BOM Master'!$A$4:$K$60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<sst xmlns="http://schemas.openxmlformats.org/spreadsheetml/2006/main" count="572" uniqueCount="396">
  <si>
    <t xml:space="preserve">FSAE DRIVERLESS - MASTER BOM</t>
  </si>
  <si>
    <t xml:space="preserve">Complete bill of materials and resources to stand up the driverless program. All figures CAD (converted from USD at 1.37) - verify with live quotes.</t>
  </si>
  <si>
    <t xml:space="preserve">ID</t>
  </si>
  <si>
    <t xml:space="preserve">Category</t>
  </si>
  <si>
    <t xml:space="preserve">Item / Purpose</t>
  </si>
  <si>
    <t xml:space="preserve">Recommended Model / Spec</t>
  </si>
  <si>
    <t xml:space="preserve">Qty</t>
  </si>
  <si>
    <t xml:space="preserve">Unit Cost (CAD)</t>
  </si>
  <si>
    <t xml:space="preserve">Ext. Cost (CAD)</t>
  </si>
  <si>
    <t xml:space="preserve">Priority</t>
  </si>
  <si>
    <t xml:space="preserve">Lead Time</t>
  </si>
  <si>
    <t xml:space="preserve">Sponsorable?</t>
  </si>
  <si>
    <t xml:space="preserve">Notes / Rationale</t>
  </si>
  <si>
    <t xml:space="preserve">DV-001</t>
  </si>
  <si>
    <t xml:space="preserve">Safety / Rules Hardware</t>
  </si>
  <si>
    <t xml:space="preserve">Remote Emergency System (RES) - European events</t>
  </si>
  <si>
    <t xml:space="preserve">Gross-Funk GF2000i-codec + T53R98, 2022 hw rev with E-Key</t>
  </si>
  <si>
    <t xml:space="preserve">Critical</t>
  </si>
  <si>
    <t xml:space="preserve">6-10 weeks</t>
  </si>
  <si>
    <t xml:space="preserve">Possible (Ferchau sponsored Racetech's)</t>
  </si>
  <si>
    <t xml:space="preserve">ORDER FIRST - longest lead item. Contact christian.keller@grossfunk.de / fsg.one/res. SIL3, CANopen Node-ID 0x011, 430-440 MHz.</t>
  </si>
  <si>
    <t xml:space="preserve">DV-002</t>
  </si>
  <si>
    <t xml:space="preserve">Remote Stop System - FSAE North America</t>
  </si>
  <si>
    <t xml:space="preserve">FSAE Remote Stop: Vehicle Module + Control Box + Remote Stop Relay</t>
  </si>
  <si>
    <t xml:space="preserve">4-8 weeks</t>
  </si>
  <si>
    <t xml:space="preserve">No</t>
  </si>
  <si>
    <t xml:space="preserve">NA uses its own standard, NOT the Gross-Funk unit. Design the shutdown circuit so either RES drops in.</t>
  </si>
  <si>
    <t xml:space="preserve">DV-003</t>
  </si>
  <si>
    <t xml:space="preserve">ASSI / DSSI status indicator lights</t>
  </si>
  <si>
    <t xml:space="preserve">3x amber+blue LED panels, black background, &gt;=15 cm2 shining area, LEDs &lt;=20mm apart</t>
  </si>
  <si>
    <t xml:space="preserve">2-3 weeks</t>
  </si>
  <si>
    <t xml:space="preserve">States: Off=off, Ready=yellow steady, Driving=yellow flashing, Finished=blue steady, Emergency=blue flashing. Both sides behind cockpit + rear centreline.</t>
  </si>
  <si>
    <t xml:space="preserve">DV-004</t>
  </si>
  <si>
    <t xml:space="preserve">Driverless alert sound device</t>
  </si>
  <si>
    <t xml:space="preserve">Automotive buzzer, 80-90 dBA, 1-5 Hz at 50% duty, 8-10 s</t>
  </si>
  <si>
    <t xml:space="preserve">1-2 weeks</t>
  </si>
  <si>
    <t xml:space="preserve">Sounds on Emergency state. Verify dBA at the rules-specified measurement distance.</t>
  </si>
  <si>
    <t xml:space="preserve">DV-005</t>
  </si>
  <si>
    <t xml:space="preserve">Autonomous Mission Indicator (AMI) display</t>
  </si>
  <si>
    <t xml:space="preserve">Small dash display / LED set showing selected mission</t>
  </si>
  <si>
    <t xml:space="preserve">Missions: acceleration, skidpad, trackdrive, braketest, inspection, autocross. Mount near dash/ASMS.</t>
  </si>
  <si>
    <t xml:space="preserve">DV-006</t>
  </si>
  <si>
    <t xml:space="preserve">ASMS / DSMS master switch</t>
  </si>
  <si>
    <t xml:space="preserve">Direct-acting rotary switch, blue circular area &gt;=50mm, labelled 'DS', lockout/tagout capable</t>
  </si>
  <si>
    <t xml:space="preserve">2 weeks</t>
  </si>
  <si>
    <t xml:space="preserve">Must be direct-acting (not via relay/logic). When OFF the car must remain normally drivable and pushable.</t>
  </si>
  <si>
    <t xml:space="preserve">DV-007</t>
  </si>
  <si>
    <t xml:space="preserve">DV shutdown-circuit relay set</t>
  </si>
  <si>
    <t xml:space="preserve">Driverless System Relay (NO permissive) + Remote Stop Relay + NC bypass relay + EBS Relay (fail-open)</t>
  </si>
  <si>
    <t xml:space="preserve">Automotive-rated relays; document the schematic for scrutineering.</t>
  </si>
  <si>
    <t xml:space="preserve">DV-008</t>
  </si>
  <si>
    <t xml:space="preserve">DV livery, signage and required markings</t>
  </si>
  <si>
    <t xml:space="preserve">Vinyl decals, 'Brake Release' labels, DV class markings</t>
  </si>
  <si>
    <t xml:space="preserve">High</t>
  </si>
  <si>
    <t xml:space="preserve">Likely (local print shop)</t>
  </si>
  <si>
    <t xml:space="preserve">Check the current-year rulebook for exact wording and placement.</t>
  </si>
  <si>
    <t xml:space="preserve">DV-009</t>
  </si>
  <si>
    <t xml:space="preserve">Software / License</t>
  </si>
  <si>
    <t xml:space="preserve">Rulebook + standards library</t>
  </si>
  <si>
    <t xml:space="preserve">ISO 26262 and ISO 21448 (SOTIF) - purchase or university library access</t>
  </si>
  <si>
    <t xml:space="preserve">1 week</t>
  </si>
  <si>
    <t xml:space="preserve">n/a</t>
  </si>
  <si>
    <t xml:space="preserve">ISO copies are expensive (~US$200-2,000/part). CHECK THE UNIVERSITY LIBRARY FIRST - usually free access.</t>
  </si>
  <si>
    <t xml:space="preserve">DV-010</t>
  </si>
  <si>
    <t xml:space="preserve">Git hosting + CI minutes</t>
  </si>
  <si>
    <t xml:space="preserve">GitHub Education (free private repos + Actions) or self-hosted GitLab</t>
  </si>
  <si>
    <t xml:space="preserve">Immediate</t>
  </si>
  <si>
    <t xml:space="preserve">Free for students</t>
  </si>
  <si>
    <t xml:space="preserve">Apply via GitHub Education. Zero cost - decide the version-control strategy in month 1.</t>
  </si>
  <si>
    <t xml:space="preserve">DV-011</t>
  </si>
  <si>
    <t xml:space="preserve">MATLAB / Simulink + toolboxes</t>
  </si>
  <si>
    <t xml:space="preserve">Vehicle Dynamics Blockset, MPC Toolbox, Automated Driving Toolbox</t>
  </si>
  <si>
    <t xml:space="preserve">2-4 weeks</t>
  </si>
  <si>
    <t xml:space="preserve">Yes - MathWorks sponsors FS teams</t>
  </si>
  <si>
    <t xml:space="preserve">MathWorks gives free competition licences to Formula Student teams. Apply early; also check your campus site licence.</t>
  </si>
  <si>
    <t xml:space="preserve">DV-012</t>
  </si>
  <si>
    <t xml:space="preserve">CAD / PDM (already sponsored)</t>
  </si>
  <si>
    <t xml:space="preserve">SOLIDWORKS / 3DEXPERIENCE via SAE Collegiate Design Series</t>
  </si>
  <si>
    <t xml:space="preserve">Medium</t>
  </si>
  <si>
    <t xml:space="preserve">Already held</t>
  </si>
  <si>
    <t xml:space="preserve">Yes - Dassault via SAE</t>
  </si>
  <si>
    <t xml:space="preserve">Apply under a TEAM email, not a personal one. Export data at end of season.</t>
  </si>
  <si>
    <t xml:space="preserve">DV-013</t>
  </si>
  <si>
    <t xml:space="preserve">Sensing - LiDAR</t>
  </si>
  <si>
    <t xml:space="preserve">Primary LiDAR</t>
  </si>
  <si>
    <t xml:space="preserve">Livox Mid-360 - 360x59 deg, 40m @10% / 70m @80%, 265g, IP67, built-in IMU, 0.1m blind zone</t>
  </si>
  <si>
    <t xml:space="preserve">3-6 weeks</t>
  </si>
  <si>
    <t xml:space="preserve">Possible via distributor</t>
  </si>
  <si>
    <t xml:space="preserve">Best price/performance for a new team. Non-repetitive scan needs point accumulation. Weak vendor support.</t>
  </si>
  <si>
    <t xml:space="preserve">DV-014</t>
  </si>
  <si>
    <t xml:space="preserve">Sensing - Camera</t>
  </si>
  <si>
    <t xml:space="preserve">Stereo camera</t>
  </si>
  <si>
    <t xml:space="preserve">Used Stereolabs ZED 2i (rolling shutter, IP66, built-in IMU) or RealSense D455</t>
  </si>
  <si>
    <t xml:space="preserve">1-3 weeks</t>
  </si>
  <si>
    <t xml:space="preserve">Yes - Stereolabs has a student programme</t>
  </si>
  <si>
    <t xml:space="preserve">Rolling shutter smears at speed - acceptable at the &lt;5 m/s year-1 target. Verify RealSense availability; that line has had discontinuation uncertainty.</t>
  </si>
  <si>
    <t xml:space="preserve">DV-015</t>
  </si>
  <si>
    <t xml:space="preserve">Lens set for machine-vision cameras</t>
  </si>
  <si>
    <t xml:space="preserve">C-mount lenses sized for cone detection at 25m (far ~50-60 deg HFOV, near ~120 deg)</t>
  </si>
  <si>
    <t xml:space="preserve">3-5 weeks</t>
  </si>
  <si>
    <t xml:space="preserve">Possible</t>
  </si>
  <si>
    <t xml:space="preserve">A 325mm cone at 25m on 1080p/50 deg HFOV is only ~15px tall - near the detection floor. Do the FOV maths before ordering.</t>
  </si>
  <si>
    <t xml:space="preserve">DV-016</t>
  </si>
  <si>
    <t xml:space="preserve">Test Equipment</t>
  </si>
  <si>
    <t xml:space="preserve">Calibration targets</t>
  </si>
  <si>
    <t xml:space="preserve">Rigid checkerboard board + printed AprilTag boards + calibration jig</t>
  </si>
  <si>
    <t xml:space="preserve">Use with Kalibr (camera-IMU), lidar_camera_calibration, direct_visual_lidar_calibration. Rigidity matters more than size.</t>
  </si>
  <si>
    <t xml:space="preserve">DV-017</t>
  </si>
  <si>
    <t xml:space="preserve">Compute</t>
  </si>
  <si>
    <t xml:space="preserve">ML training workstation</t>
  </si>
  <si>
    <t xml:space="preserve">Ryzen 9 / i9, 64GB RAM, RTX 4080 (16-24GB), 2TB NVMe</t>
  </si>
  <si>
    <t xml:space="preserve">Yes - NVIDIA academic seeding</t>
  </si>
  <si>
    <t xml:space="preserve">Tier 1: use existing lab machines or campus HPC (cost $0). Needed to train YOLO/segmentation on FSOCO.</t>
  </si>
  <si>
    <t xml:space="preserve">DV-018</t>
  </si>
  <si>
    <t xml:space="preserve">Cone dataset</t>
  </si>
  <si>
    <t xml:space="preserve">FSOCO - 44,195 images / 316,669 labelled cones, bboxes + instance segmentation</t>
  </si>
  <si>
    <t xml:space="preserve">Free</t>
  </si>
  <si>
    <t xml:space="preserve">PUBLIC since Aug 2022 - the old contribution buy-in is gone. fsoco-dataset.com. Contributing back is still encouraged.</t>
  </si>
  <si>
    <t xml:space="preserve">DV-019</t>
  </si>
  <si>
    <t xml:space="preserve">Sensing - GNSS/INS</t>
  </si>
  <si>
    <t xml:space="preserve">GNSS/INS</t>
  </si>
  <si>
    <t xml:space="preserve">ArduSimple simpleRTK2B (u-blox ZED-F9P) + antenna, paired with a separate IMU</t>
  </si>
  <si>
    <t xml:space="preserve">Budget RTK. No dual-antenna heading - yaw at standstill will be weak, which hurts skidpad starts.</t>
  </si>
  <si>
    <t xml:space="preserve">DV-020</t>
  </si>
  <si>
    <t xml:space="preserve">Dual GNSS antennas + low-loss cabling</t>
  </si>
  <si>
    <t xml:space="preserve">L1/L2 survey antennas x2 + LMR cabling, roll-hoop/bodywork mounts</t>
  </si>
  <si>
    <t xml:space="preserve">3-4 weeks</t>
  </si>
  <si>
    <t xml:space="preserve">Bundled with INS sponsorship</t>
  </si>
  <si>
    <t xml:space="preserve">Antenna baseline length drives heading accuracy - plan the mounting geometry with the mech team.</t>
  </si>
  <si>
    <t xml:space="preserve">DV-021</t>
  </si>
  <si>
    <t xml:space="preserve">RTK correction service (Canada)</t>
  </si>
  <si>
    <t xml:space="preserve">Commercial NTRIP subscription (RTKdata / RTK FIX) - annual</t>
  </si>
  <si>
    <t xml:space="preserve">Tier 1: free casters RTK2go / Emlid Caster ($0). Only Quebec offers free provincial corrections - a Manitoba team will run its own base or pay. Cross-check NRCan's RTK network list.</t>
  </si>
  <si>
    <t xml:space="preserve">DV-022</t>
  </si>
  <si>
    <t xml:space="preserve">Optical ground-speed sensor (ground truth)</t>
  </si>
  <si>
    <t xml:space="preserve">Kistler Correvit (or GeneSys ADMA) - slip-free velocity reference</t>
  </si>
  <si>
    <t xml:space="preserve">Low</t>
  </si>
  <si>
    <t xml:space="preserve">10-16 weeks</t>
  </si>
  <si>
    <t xml:space="preserve">Yes - usually sponsored</t>
  </si>
  <si>
    <t xml:space="preserve">Validation only, shared with Testing. AMZ and Elefant both ran ground-speed sensors. Skip unless sponsored.</t>
  </si>
  <si>
    <t xml:space="preserve">DV-023</t>
  </si>
  <si>
    <t xml:space="preserve">Survey-grade RTK rover for map ground truth</t>
  </si>
  <si>
    <t xml:space="preserve">Handheld RTK rover to survey true cone positions on the test track</t>
  </si>
  <si>
    <t xml:space="preserve">You cannot report a mapping RMSE without surveyed cone truth. Target &lt;1m year 1; AMZ achieved 0.29m.</t>
  </si>
  <si>
    <t xml:space="preserve">DV-024</t>
  </si>
  <si>
    <t xml:space="preserve">FSAE Tire Test Consortium membership</t>
  </si>
  <si>
    <t xml:space="preserve">TTC membership - measured Calspan tire data for Pacejka/Magic Formula fitting</t>
  </si>
  <si>
    <t xml:space="preserve">No (team pays)</t>
  </si>
  <si>
    <t xml:space="preserve">Essential for a credible vehicle model. Join at fsaettc.org. Cheapest single item with the biggest effect on model fidelity.</t>
  </si>
  <si>
    <t xml:space="preserve">DV-025</t>
  </si>
  <si>
    <t xml:space="preserve">Optimisation and MPC solver stack</t>
  </si>
  <si>
    <t xml:space="preserve">acados, CasADi, OSQP, HPIPM, TUM global_racetrajectory_optimization, GTSAM, Ceres</t>
  </si>
  <si>
    <t xml:space="preserve">Free / open source</t>
  </si>
  <si>
    <t xml:space="preserve">All open source. TUM's minimum-curvature raceline optimiser is the standard offline tool; ETH's MPCC is the reference racing controller.</t>
  </si>
  <si>
    <t xml:space="preserve">DV-026</t>
  </si>
  <si>
    <t xml:space="preserve">Rack-force load cell</t>
  </si>
  <si>
    <t xml:space="preserve">Inline load cell + amplifier to measure real steering rack force before sizing the actuator</t>
  </si>
  <si>
    <t xml:space="preserve">Size the steering actuator from MEASURED rack force, not motor datasheet headlines. Shared item with the Mech/EE interface work.</t>
  </si>
  <si>
    <t xml:space="preserve">DV-027</t>
  </si>
  <si>
    <t xml:space="preserve">Onboard compute</t>
  </si>
  <si>
    <t xml:space="preserve">NVIDIA Jetson AGX Orin 64GB Developer Kit - 275 TOPS, 15-60W</t>
  </si>
  <si>
    <t xml:space="preserve">3-8 weeks</t>
  </si>
  <si>
    <t xml:space="preserve">Yes - NVIDIA seeds Jetsons to student teams</t>
  </si>
  <si>
    <t xml:space="preserve">List US$1,999 but frequently ~US$999 on promotion. Minimises power/heat/packaging pain vs x86. DisplayPort only.</t>
  </si>
  <si>
    <t xml:space="preserve">DV-028</t>
  </si>
  <si>
    <t xml:space="preserve">Data / Storage</t>
  </si>
  <si>
    <t xml:space="preserve">Onboard logging NVMe</t>
  </si>
  <si>
    <t xml:space="preserve">2TB NVMe SSD for rosbag/MCAP capture</t>
  </si>
  <si>
    <t xml:space="preserve">LiDAR + multi-camera logs run several GB/min. Expect 1-2TB per full test day - offload nightly.</t>
  </si>
  <si>
    <t xml:space="preserve">DV-029</t>
  </si>
  <si>
    <t xml:space="preserve">Networking / Power</t>
  </si>
  <si>
    <t xml:space="preserve">CAN interface</t>
  </si>
  <si>
    <t xml:space="preserve">PEAK PCAN-USB / SocketCAN adapter x2</t>
  </si>
  <si>
    <t xml:space="preserve">You must emit the FSG CAN message set (0x500, 0x501, 0x502, 0x511-0x515) at 100ms - design the DBC around it from day one.</t>
  </si>
  <si>
    <t xml:space="preserve">DV-030</t>
  </si>
  <si>
    <t xml:space="preserve">Managed automotive Ethernet switch + PoE</t>
  </si>
  <si>
    <t xml:space="preserve">Industrial managed switch with PoE for sensors, PTP-capable</t>
  </si>
  <si>
    <t xml:space="preserve">Route Ethernet away from HV cabling; shield and ground for tractive-system EMI.</t>
  </si>
  <si>
    <t xml:space="preserve">DV-031</t>
  </si>
  <si>
    <t xml:space="preserve">Connector + crimp tooling kit</t>
  </si>
  <si>
    <t xml:space="preserve">Deutsch DTM / Autosport / TE / Amphenol kit plus proper crimpers</t>
  </si>
  <si>
    <t xml:space="preserve">Bad crimps cause more DNFs than bad algorithms. Buy the real crimp tools.</t>
  </si>
  <si>
    <t xml:space="preserve">DV-032</t>
  </si>
  <si>
    <t xml:space="preserve">Shielded Ethernet / GMSL2 cabling + glands</t>
  </si>
  <si>
    <t xml:space="preserve">Shielded cabling, right-angle connectors, strain relief</t>
  </si>
  <si>
    <t xml:space="preserve">Keep sensor data lines physically separated from HV runs.</t>
  </si>
  <si>
    <t xml:space="preserve">DV-033</t>
  </si>
  <si>
    <t xml:space="preserve">Microcontroller dev boards</t>
  </si>
  <si>
    <t xml:space="preserve">STM32 Nucleo / Teensy 4.1 x5 for real-time control and state machine work</t>
  </si>
  <si>
    <t xml:space="preserve">Real-time control belongs on MCUs, not on the Jetson. Run PREEMPT_RT on the main compute.</t>
  </si>
  <si>
    <t xml:space="preserve">DV-034</t>
  </si>
  <si>
    <t xml:space="preserve">Safety-oriented MCU dev kit</t>
  </si>
  <si>
    <t xml:space="preserve">NXP S32K automotive MCU dev kit for EBS supervisor logic</t>
  </si>
  <si>
    <t xml:space="preserve">Possible - NXP</t>
  </si>
  <si>
    <t xml:space="preserve">Pairs with the non-programmable logic latch; scrutineers will ask to see the failure analysis.</t>
  </si>
  <si>
    <t xml:space="preserve">DV-035</t>
  </si>
  <si>
    <t xml:space="preserve">EBS supervisor board (non-programmable logic)</t>
  </si>
  <si>
    <t xml:space="preserve">74xx-series latch + plausibility monitoring, custom PCB fab + assembly</t>
  </si>
  <si>
    <t xml:space="preserve">4-6 weeks</t>
  </si>
  <si>
    <t xml:space="preserve">The FSG reference design (Stollberger/Gebhardt) specifies NON-PROGRAMMABLE logic for the EBS latch. Do not implement this purely in software.</t>
  </si>
  <si>
    <t xml:space="preserve">DV-036</t>
  </si>
  <si>
    <t xml:space="preserve">DV interface PCB (fab + assembly)</t>
  </si>
  <si>
    <t xml:space="preserve">Custom board tying shutdown circuit, relays, ASSI, AMI, sensors (JLCPCB/PCBWay, 3 spins)</t>
  </si>
  <si>
    <t xml:space="preserve">3-5 weeks per spin</t>
  </si>
  <si>
    <t xml:space="preserve">Budget three revisions. Order spares of every connector on it.</t>
  </si>
  <si>
    <t xml:space="preserve">DV-037</t>
  </si>
  <si>
    <t xml:space="preserve">Sensing - Other</t>
  </si>
  <si>
    <t xml:space="preserve">Steering angle absolute encoder</t>
  </si>
  <si>
    <t xml:space="preserve">Magnetic absolute encoder (RLS / Bourns / CUI) on column or rack</t>
  </si>
  <si>
    <t xml:space="preserve">Rules require logging steering angle actual vs target. Absolute, not incremental.</t>
  </si>
  <si>
    <t xml:space="preserve">DV-038</t>
  </si>
  <si>
    <t xml:space="preserve">Compute cooling + vibration isolation</t>
  </si>
  <si>
    <t xml:space="preserve">Ventilated enclosure, fans, heatsinks, wire-rope isolators</t>
  </si>
  <si>
    <t xml:space="preserve">Elefant used ventilated side boxes. Keep the compute off sprung-mass hot spots.</t>
  </si>
  <si>
    <t xml:space="preserve">DV-039</t>
  </si>
  <si>
    <t xml:space="preserve">Actuation - Steering</t>
  </si>
  <si>
    <t xml:space="preserve">Steering actuator</t>
  </si>
  <si>
    <t xml:space="preserve">Salvaged automotive EPS column motor (Prius/Corolla/VW) + ODrive or custom driver</t>
  </si>
  <si>
    <t xml:space="preserve">4-8 weeks + reverse engineering</t>
  </si>
  <si>
    <t xml:space="preserve">Cheapest hardware, most software risk - you must reverse-engineer the CAN/torque-sensor protocol. Manual steering must remain possible with ASMS OFF and nothing removed.</t>
  </si>
  <si>
    <t xml:space="preserve">DV-040</t>
  </si>
  <si>
    <t xml:space="preserve">Steering drive train hardware</t>
  </si>
  <si>
    <t xml:space="preserve">Ball screw, HTD belt + pulleys, machined bracket, bearings, shaft stock</t>
  </si>
  <si>
    <t xml:space="preserve">Possible (machining sponsor)</t>
  </si>
  <si>
    <t xml:space="preserve">Included in the Tier 2/3 actuator packages above; separate line for the Tier 1 DIY route.</t>
  </si>
  <si>
    <t xml:space="preserve">DV-041</t>
  </si>
  <si>
    <t xml:space="preserve">Actuation - Brake / EBS</t>
  </si>
  <si>
    <t xml:space="preserve">EBS pneumatic system</t>
  </si>
  <si>
    <t xml:space="preserve">Air tank + regulator + normally-open solenoid + Festo/SMC cylinder + 3x pressure sensors + fittings</t>
  </si>
  <si>
    <t xml:space="preserve">Possible - Festo/SMC</t>
  </si>
  <si>
    <t xml:space="preserve">Must use PASSIVE mechanical energy storage and release without electrical power. &gt;=10 m/s2 average deceleration, &lt;=200ms reaction. NO push-in fittings at the EBS.</t>
  </si>
  <si>
    <t xml:space="preserve">DV-042</t>
  </si>
  <si>
    <t xml:space="preserve">Driverless master cylinders + shuttle valves</t>
  </si>
  <si>
    <t xml:space="preserve">Dedicated DV master cylinders + 3-way higher-pressure-wins valves into existing hydraulic lines</t>
  </si>
  <si>
    <t xml:space="preserve">Pattern used by Carnegie Mellon Racing and Politecnico di Torino.</t>
  </si>
  <si>
    <t xml:space="preserve">DV-043</t>
  </si>
  <si>
    <t xml:space="preserve">Brake Release deactivation handles</t>
  </si>
  <si>
    <t xml:space="preserve">Max 2 red handles marked 'Brake Release', operable with no power or tools</t>
  </si>
  <si>
    <t xml:space="preserve">Must be near the vehicle centreline on top of the car.</t>
  </si>
  <si>
    <t xml:space="preserve">DV-044</t>
  </si>
  <si>
    <t xml:space="preserve">Hydraulic lines, fittings and brake spares</t>
  </si>
  <si>
    <t xml:space="preserve">Braided lines, unions, bleed kit, spare pads/fluid</t>
  </si>
  <si>
    <t xml:space="preserve">You will bleed this system many, many times during EBS validation.</t>
  </si>
  <si>
    <t xml:space="preserve">DV-045</t>
  </si>
  <si>
    <t xml:space="preserve">Test Platform (RC)</t>
  </si>
  <si>
    <t xml:space="preserve">F1TENTH platform</t>
  </si>
  <si>
    <t xml:space="preserve">Traxxas Slash 4x4 + VESC 6 MkVI + RPLiDAR A2/S2 + Jetson Orin Nano + USB global-shutter cam + 2x LiPo + deck/IMU/power board</t>
  </si>
  <si>
    <t xml:space="preserve">Partial - NVIDIA for the Orin Nano</t>
  </si>
  <si>
    <t xml:space="preserve">DO THIS FIRST. Exercises the entire ROS2 stack indoors over the Winnipeg winter, before the car is ready. BOM documented at f1tenth.org.</t>
  </si>
  <si>
    <t xml:space="preserve">DV-046</t>
  </si>
  <si>
    <t xml:space="preserve">Practice cones</t>
  </si>
  <si>
    <t xml:space="preserve">200x generic 12.5in traffic cones in blue/yellow/orange + 20x 18in orange</t>
  </si>
  <si>
    <t xml:space="preserve">Possible (local supplier)</t>
  </si>
  <si>
    <t xml:space="preserve">Max cone spacing in the driving direction is 5m, so a full autocross/trackdrive layout needs 200-400+. Buy cheap locally for practice.</t>
  </si>
  <si>
    <t xml:space="preserve">DV-047</t>
  </si>
  <si>
    <t xml:space="preserve">Telemetry link</t>
  </si>
  <si>
    <t xml:space="preserve">RFD900 / Ubiquiti one-way telemetry radio pair + antennas</t>
  </si>
  <si>
    <t xml:space="preserve">One-way telemetry only - two-way control is banned between start/finish lines.</t>
  </si>
  <si>
    <t xml:space="preserve">DV-048</t>
  </si>
  <si>
    <t xml:space="preserve">Simulation / HIL</t>
  </si>
  <si>
    <t xml:space="preserve">CI/CD runner machine</t>
  </si>
  <si>
    <t xml:space="preserve">Dedicated self-hosted runner for ROS2 build + regression suite</t>
  </si>
  <si>
    <t xml:space="preserve">Tier 1: GitHub Actions free education minutes ($0). Testing responsibility #3 on the org chart.</t>
  </si>
  <si>
    <t xml:space="preserve">DV-049</t>
  </si>
  <si>
    <t xml:space="preserve">Facilities / Admin</t>
  </si>
  <si>
    <t xml:space="preserve">Indoor winter test space</t>
  </si>
  <si>
    <t xml:space="preserve">Gym / lab / hangar booking for RC-scale testing Nov-Apr</t>
  </si>
  <si>
    <t xml:space="preserve">Book 3-6 months ahead</t>
  </si>
  <si>
    <t xml:space="preserve">Often free via the university</t>
  </si>
  <si>
    <t xml:space="preserve">Winnipeg gives you roughly a 5-month outdoor blackout. Book indoor space early - this is the difference between a productive and a wasted winter.</t>
  </si>
  <si>
    <t xml:space="preserve">DV-050</t>
  </si>
  <si>
    <t xml:space="preserve">Simulation stack</t>
  </si>
  <si>
    <t xml:space="preserve">FSDS (UE4+AirSim), FSSIM, EUFS Sim, CARLA, AWSIM, Gazebo</t>
  </si>
  <si>
    <t xml:space="preserve">FSDS is the FS-specific standard (used for FS-Online 2020). FSSIM predicted gotthard's FSG 2018 trackdrive lap time to 1%. LGSVL/SVL is deprecated - do not start there.</t>
  </si>
  <si>
    <t xml:space="preserve">DV-051</t>
  </si>
  <si>
    <t xml:space="preserve">Simulation / visualisation workstation</t>
  </si>
  <si>
    <t xml:space="preserve">RTX 4070+ build, 32-64GB RAM, for UE4-class sim and data viz</t>
  </si>
  <si>
    <t xml:space="preserve">Yes - NVIDIA academic</t>
  </si>
  <si>
    <t xml:space="preserve">Tier 1: reuse existing lab PCs ($0). FSDS is UE4-based and needs a real GPU.</t>
  </si>
  <si>
    <t xml:space="preserve">DV-052</t>
  </si>
  <si>
    <t xml:space="preserve">Test data storage</t>
  </si>
  <si>
    <t xml:space="preserve">2x 4TB external USB SSD/HDD for test-day offload</t>
  </si>
  <si>
    <t xml:space="preserve">Storage architecture and data integrity are Sim responsibilities #2. Expect 1-2TB per full test day.</t>
  </si>
  <si>
    <t xml:space="preserve">DV-053</t>
  </si>
  <si>
    <t xml:space="preserve">Visualisation and log tooling</t>
  </si>
  <si>
    <t xml:space="preserve">Foxglove Studio, PlotJuggler, rerun.io, MCAP tooling</t>
  </si>
  <si>
    <t xml:space="preserve">Free tiers</t>
  </si>
  <si>
    <t xml:space="preserve">Foxglove has a free tier; the paid team tier is optional. MCAP is the modern rosbag format.</t>
  </si>
  <si>
    <t xml:space="preserve">DV-054</t>
  </si>
  <si>
    <t xml:space="preserve">Labelling platform</t>
  </si>
  <si>
    <t xml:space="preserve">CVAT (self-hosted, free) or Roboflow paid tier</t>
  </si>
  <si>
    <t xml:space="preserve">Sim responsibility #6 (multi-modal labelling). Self-hosted CVAT is $0 if you have a spare machine.</t>
  </si>
  <si>
    <t xml:space="preserve">DV-055</t>
  </si>
  <si>
    <t xml:space="preserve">Commercial simulation (sponsorship route)</t>
  </si>
  <si>
    <t xml:space="preserve">IPG CarMaker, Ansys AVxcelerate, dSPACE ASM, MATLAB RoadRunner</t>
  </si>
  <si>
    <t xml:space="preserve">8-12 weeks</t>
  </si>
  <si>
    <t xml:space="preserve">YES - all four run student/FS programmes</t>
  </si>
  <si>
    <t xml:space="preserve">RoadRunner is free for education. CarMaker/AVxcelerate/dSPACE are five-figure licences that FS teams routinely get sponsored - apply, do not budget cash.</t>
  </si>
  <si>
    <t xml:space="preserve">DV-056</t>
  </si>
  <si>
    <t xml:space="preserve">Driver-in-the-loop input rig</t>
  </si>
  <si>
    <t xml:space="preserve">Force-feedback wheel + pedals for human-baseline comparison runs</t>
  </si>
  <si>
    <t xml:space="preserve">Nice-to-have for benchmarking the autonomous line against a human reference.</t>
  </si>
  <si>
    <t xml:space="preserve">TOTAL</t>
  </si>
  <si>
    <t xml:space="preserve">SPONSORSHIP TARGETS</t>
  </si>
  <si>
    <t xml:space="preserve">Hardware and software that FS teams routinely get in kind. Apply 6-9 months before you need the part. Assign each ask to the role that owns the item so the technical conversation is with the right person.</t>
  </si>
  <si>
    <t xml:space="preserve">Vendor</t>
  </si>
  <si>
    <t xml:space="preserve">What to ask for</t>
  </si>
  <si>
    <t xml:space="preserve">Owning role</t>
  </si>
  <si>
    <t xml:space="preserve">Likelihood</t>
  </si>
  <si>
    <t xml:space="preserve">Why they are a fit</t>
  </si>
  <si>
    <t xml:space="preserve">How to approach</t>
  </si>
  <si>
    <t xml:space="preserve">SBG Systems</t>
  </si>
  <si>
    <t xml:space="preserve">Ellipse-D INS/GNSS</t>
  </si>
  <si>
    <t xml:space="preserve">Mapping — Angel</t>
  </si>
  <si>
    <t xml:space="preserve">HIGH</t>
  </si>
  <si>
    <t xml:space="preserve">Runs an education/sponsorship programme; used by AMZ, Chalmers, TUfast, Zurich UAS. ITAR-free.</t>
  </si>
  <si>
    <t xml:space="preserve">Apply 6-9 months ahead via their Formula Student form; lead with your project plan and timeline.</t>
  </si>
  <si>
    <t xml:space="preserve">VectorNav</t>
  </si>
  <si>
    <t xml:space="preserve">VN-300 dual-GNSS/INS</t>
  </si>
  <si>
    <t xml:space="preserve">Supports student teams; 0.15 deg static / 0.2 deg dynamic heading at 400Hz.</t>
  </si>
  <si>
    <t xml:space="preserve">Alternative to SBG — apply to both, take whichever lands.</t>
  </si>
  <si>
    <t xml:space="preserve">NVIDIA</t>
  </si>
  <si>
    <t xml:space="preserve">Jetson AGX Orin, RTX GPUs</t>
  </si>
  <si>
    <t xml:space="preserve">Firmware — Mason / Perception</t>
  </si>
  <si>
    <t xml:space="preserve">Academic hardware seeding programme.</t>
  </si>
  <si>
    <t xml:space="preserve">Apply through the NVIDIA academic/developer programme; a strong technical proposal matters.</t>
  </si>
  <si>
    <t xml:space="preserve">MathWorks</t>
  </si>
  <si>
    <t xml:space="preserve">MATLAB, Simulink, VD Blockset, MPC Toolbox</t>
  </si>
  <si>
    <t xml:space="preserve">Team-Wide</t>
  </si>
  <si>
    <t xml:space="preserve">VERY HIGH</t>
  </si>
  <si>
    <t xml:space="preserve">Gives free competition licences to Formula Student teams.</t>
  </si>
  <si>
    <t xml:space="preserve">Nearly automatic for registered FS teams — do this in month 1.</t>
  </si>
  <si>
    <t xml:space="preserve">Speedgoat</t>
  </si>
  <si>
    <t xml:space="preserve">Real-time target / HIL rig</t>
  </si>
  <si>
    <t xml:space="preserve">Testing — Evan</t>
  </si>
  <si>
    <t xml:space="preserve">Explicitly sponsors Formula Student; lists AMZ and Greenteam as references.</t>
  </si>
  <si>
    <t xml:space="preserve">Ask for the HIL rig rather than budgeting US$8k cash.</t>
  </si>
  <si>
    <t xml:space="preserve">Ouster</t>
  </si>
  <si>
    <t xml:space="preserve">OS1-32 / OS1-128 LiDAR</t>
  </si>
  <si>
    <t xml:space="preserve">Perception</t>
  </si>
  <si>
    <t xml:space="preserve">MEDIUM</t>
  </si>
  <si>
    <t xml:space="preserve">Non-profit pricing (~US$6k vs US$8k list); absorbed Velodyne.</t>
  </si>
  <si>
    <t xml:space="preserve">Ask for both a discount and a loaner; used units on the secondary market are the fallback.</t>
  </si>
  <si>
    <t xml:space="preserve">Stereolabs</t>
  </si>
  <si>
    <t xml:space="preserve">ZED 2i / ZED X cameras</t>
  </si>
  <si>
    <t xml:space="preserve">MEDIUM-HIGH</t>
  </si>
  <si>
    <t xml:space="preserve">Runs a student programme.</t>
  </si>
  <si>
    <t xml:space="preserve">Low-cost ask with a high hit rate — request the ZED X for global shutter.</t>
  </si>
  <si>
    <t xml:space="preserve">Vector Informatik</t>
  </si>
  <si>
    <t xml:space="preserve">CANoe / CANalyzer, VN interfaces</t>
  </si>
  <si>
    <t xml:space="preserve">Firmware — Mason</t>
  </si>
  <si>
    <t xml:space="preserve">University and FS programme.</t>
  </si>
  <si>
    <t xml:space="preserve">Ask for the software licence and the hardware interface as a bundle.</t>
  </si>
  <si>
    <t xml:space="preserve">IPG Automotive</t>
  </si>
  <si>
    <t xml:space="preserve">CarMaker</t>
  </si>
  <si>
    <t xml:space="preserve">Sim — Ethan</t>
  </si>
  <si>
    <t xml:space="preserve">Student programme for FS teams.</t>
  </si>
  <si>
    <t xml:space="preserve">Five-figure licence normally — never budget cash for this.</t>
  </si>
  <si>
    <t xml:space="preserve">dSPACE</t>
  </si>
  <si>
    <t xml:space="preserve">HIL / ASM simulation</t>
  </si>
  <si>
    <t xml:space="preserve">Testing / Sim</t>
  </si>
  <si>
    <t xml:space="preserve">University programme.</t>
  </si>
  <si>
    <t xml:space="preserve">Higher barrier; approach after you have a track record.</t>
  </si>
  <si>
    <t xml:space="preserve">Ansys</t>
  </si>
  <si>
    <t xml:space="preserve">AVxcelerate, simulation suite</t>
  </si>
  <si>
    <t xml:space="preserve">Well-established student team programme.</t>
  </si>
  <si>
    <t xml:space="preserve">Bundle the ask with your mechanical/aero subteam's needs.</t>
  </si>
  <si>
    <t xml:space="preserve">Maxon</t>
  </si>
  <si>
    <t xml:space="preserve">EC motors, planetary gearheads, EPOS4</t>
  </si>
  <si>
    <t xml:space="preserve">Mech/EE Interface</t>
  </si>
  <si>
    <t xml:space="preserve">Documents FS steering and rear-wheel-steer applications.</t>
  </si>
  <si>
    <t xml:space="preserve">Bring measured rack-force data to the conversation — they size the motor with you.</t>
  </si>
  <si>
    <t xml:space="preserve">Festo / SMC</t>
  </si>
  <si>
    <t xml:space="preserve">Pneumatic cylinders, valves, regulators</t>
  </si>
  <si>
    <t xml:space="preserve">Standard EBS component suppliers for FS teams.</t>
  </si>
  <si>
    <t xml:space="preserve">Ask for the EBS kit as an in-kind donation; include your FMEA.</t>
  </si>
  <si>
    <t xml:space="preserve">Dassault / SOLIDWORKS via SAE</t>
  </si>
  <si>
    <t xml:space="preserve">CAD + 3DEXPERIENCE PDM</t>
  </si>
  <si>
    <t xml:space="preserve">ALREADY HELD</t>
  </si>
  <si>
    <t xml:space="preserve">SAE Collegiate Design Series sponsorship.</t>
  </si>
  <si>
    <t xml:space="preserve">Keep it under a team email; export data at end of season.</t>
  </si>
  <si>
    <t xml:space="preserve">Gross-Funk</t>
  </si>
  <si>
    <t xml:space="preserve">RES (GF2000i-codec / T53R98)</t>
  </si>
  <si>
    <t xml:space="preserve">DSO — Caleb</t>
  </si>
  <si>
    <t xml:space="preserve">LOW-MEDIUM</t>
  </si>
  <si>
    <t xml:space="preserve">Mandated unit; Ferchau has sponsored a team's RES before.</t>
  </si>
  <si>
    <t xml:space="preserve">Order regardless of sponsorship outcome — the lead time is the binding constraint.</t>
  </si>
  <si>
    <t xml:space="preserve">AiM / MoTeC</t>
  </si>
  <si>
    <t xml:space="preserve">DAQ, lap timing</t>
  </si>
  <si>
    <t xml:space="preserve">Both support FS teams.</t>
  </si>
  <si>
    <t xml:space="preserve">You may already have a relationship through the EV car.</t>
  </si>
  <si>
    <t xml:space="preserve">Local machine shops</t>
  </si>
  <si>
    <t xml:space="preserve">CNC sensor mounts, brackets</t>
  </si>
  <si>
    <t xml:space="preserve">Perception / Mech-EE</t>
  </si>
  <si>
    <t xml:space="preserve">Winnipeg-area shops often support student teams in kind.</t>
  </si>
  <si>
    <t xml:space="preserve">In-kind machining is the most under-used sponsorship channel.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</si>
</sst>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theme="1"/>
      <name val="Cambria"/>
      <family val="0"/>
      <charset val="1"/>
    </font>
    <font>
      <i val="true"/>
      <sz val="10"/>
      <color theme="1"/>
      <name val="Cambria"/>
      <family val="0"/>
      <charset val="1"/>
    </font>
    <font>
      <b val="true"/>
      <sz val="11"/>
      <color theme="1"/>
      <name val="Cambria"/>
      <family val="0"/>
      <charset val="1"/>
    </font>
    <font>
      <sz val="11"/>
      <color theme="1"/>
      <name val="Cambria"/>
      <family val="0"/>
      <charset val="1"/>
    </font>
    <font>
      <b val="true"/>
      <sz val="12"/>
      <color theme="1"/>
      <name val="Cambria"/>
      <family val="0"/>
      <charset val="1"/>
    </font>
    <font>
      <b val="true"/>
      <sz val="14"/>
      <color theme="1"/>
      <name val="Arial"/>
      <family val="0"/>
      <charset val="1"/>
    </font>
    <font>
      <i val="true"/>
      <sz val="9"/>
      <color theme="1"/>
      <name val="Arial"/>
      <family val="0"/>
      <charset val="1"/>
    </font>
    <font>
      <b val="true"/>
      <sz val="10"/>
      <color theme="1"/>
      <name val="Arial"/>
      <family val="0"/>
      <charset val="1"/>
    </font>
    <font>
      <sz val="10"/>
      <color theme="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729FCF"/>
        <bgColor rgb="FF969696"/>
      </patternFill>
    </fill>
    <fill>
      <patternFill patternType="solid">
        <fgColor rgb="FFFFFF00"/>
        <bgColor rgb="FFFFFF00"/>
      </patternFill>
    </fill>
    <fill>
      <patternFill patternType="solid">
        <fgColor rgb="FFDDEBF7"/>
        <bgColor rgb="FFCCFFFF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7" fillId="3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8" fillId="4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7" fillId="4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8" fillId="4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7" fillId="0" borderId="0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729FC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729FC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0" activeCellId="0" sqref="J10"/>
    </sheetView>
  </sheetViews>
  <sheetFormatPr defaultColWidth="8.6796875" defaultRowHeight="12.7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2"/>
    <col collapsed="false" customWidth="true" hidden="false" outlineLevel="0" max="3" min="3" style="1" width="36"/>
    <col collapsed="false" customWidth="true" hidden="false" outlineLevel="0" max="4" min="4" style="1" width="42"/>
    <col collapsed="false" customWidth="true" hidden="false" outlineLevel="0" max="5" min="5" style="1" width="6"/>
    <col collapsed="false" customWidth="true" hidden="false" outlineLevel="0" max="7" min="6" style="1" width="13"/>
    <col collapsed="false" customWidth="true" hidden="false" outlineLevel="0" max="8" min="8" style="1" width="10"/>
    <col collapsed="false" customWidth="true" hidden="false" outlineLevel="0" max="9" min="9" style="1" width="16"/>
    <col collapsed="false" customWidth="true" hidden="false" outlineLevel="0" max="10" min="10" style="1" width="24"/>
    <col collapsed="false" customWidth="true" hidden="false" outlineLevel="0" max="11" min="11" style="1" width="60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2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customFormat="false" ht="13.5" hidden="false" customHeight="true" outlineLevel="0" collapsed="false"/>
    <row r="4" s="5" customFormat="true" ht="27.7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</row>
    <row r="5" customFormat="false" ht="41.25" hidden="false" customHeight="true" outlineLevel="0" collapsed="false">
      <c r="A5" s="6" t="s">
        <v>13</v>
      </c>
      <c r="B5" s="6" t="s">
        <v>14</v>
      </c>
      <c r="C5" s="7" t="s">
        <v>15</v>
      </c>
      <c r="D5" s="7" t="s">
        <v>16</v>
      </c>
      <c r="E5" s="8" t="n">
        <v>1</v>
      </c>
      <c r="F5" s="9" t="n">
        <v>2740</v>
      </c>
      <c r="G5" s="10" t="n">
        <f aca="false">E5*F5</f>
        <v>2740</v>
      </c>
      <c r="H5" s="11" t="s">
        <v>17</v>
      </c>
      <c r="I5" s="6" t="s">
        <v>18</v>
      </c>
      <c r="J5" s="6" t="s">
        <v>19</v>
      </c>
      <c r="K5" s="7" t="s">
        <v>20</v>
      </c>
    </row>
    <row r="6" customFormat="false" ht="27.75" hidden="false" customHeight="true" outlineLevel="0" collapsed="false">
      <c r="A6" s="6" t="s">
        <v>21</v>
      </c>
      <c r="B6" s="6" t="s">
        <v>14</v>
      </c>
      <c r="C6" s="7" t="s">
        <v>22</v>
      </c>
      <c r="D6" s="7" t="s">
        <v>23</v>
      </c>
      <c r="E6" s="8" t="n">
        <v>1</v>
      </c>
      <c r="F6" s="10" t="n">
        <v>685</v>
      </c>
      <c r="G6" s="10" t="n">
        <f aca="false">E6*F6</f>
        <v>685</v>
      </c>
      <c r="H6" s="11" t="s">
        <v>17</v>
      </c>
      <c r="I6" s="6" t="s">
        <v>24</v>
      </c>
      <c r="J6" s="6" t="s">
        <v>25</v>
      </c>
      <c r="K6" s="7" t="s">
        <v>26</v>
      </c>
    </row>
    <row r="7" customFormat="false" ht="41.25" hidden="false" customHeight="true" outlineLevel="0" collapsed="false">
      <c r="A7" s="6" t="s">
        <v>27</v>
      </c>
      <c r="B7" s="6" t="s">
        <v>14</v>
      </c>
      <c r="C7" s="7" t="s">
        <v>28</v>
      </c>
      <c r="D7" s="7" t="s">
        <v>29</v>
      </c>
      <c r="E7" s="8" t="n">
        <v>3</v>
      </c>
      <c r="F7" s="10" t="n">
        <v>116</v>
      </c>
      <c r="G7" s="10" t="n">
        <f aca="false">E7*F7</f>
        <v>348</v>
      </c>
      <c r="H7" s="11" t="s">
        <v>17</v>
      </c>
      <c r="I7" s="6" t="s">
        <v>30</v>
      </c>
      <c r="J7" s="6" t="s">
        <v>25</v>
      </c>
      <c r="K7" s="7" t="s">
        <v>31</v>
      </c>
    </row>
    <row r="8" customFormat="false" ht="27.75" hidden="false" customHeight="true" outlineLevel="0" collapsed="false">
      <c r="A8" s="6" t="s">
        <v>32</v>
      </c>
      <c r="B8" s="6" t="s">
        <v>14</v>
      </c>
      <c r="C8" s="7" t="s">
        <v>33</v>
      </c>
      <c r="D8" s="7" t="s">
        <v>34</v>
      </c>
      <c r="E8" s="8" t="n">
        <v>1</v>
      </c>
      <c r="F8" s="10" t="n">
        <v>82</v>
      </c>
      <c r="G8" s="10" t="n">
        <f aca="false">E8*F8</f>
        <v>82</v>
      </c>
      <c r="H8" s="11" t="s">
        <v>17</v>
      </c>
      <c r="I8" s="6" t="s">
        <v>35</v>
      </c>
      <c r="J8" s="6" t="s">
        <v>25</v>
      </c>
      <c r="K8" s="7" t="s">
        <v>36</v>
      </c>
    </row>
    <row r="9" customFormat="false" ht="27.75" hidden="false" customHeight="true" outlineLevel="0" collapsed="false">
      <c r="A9" s="6" t="s">
        <v>37</v>
      </c>
      <c r="B9" s="6" t="s">
        <v>14</v>
      </c>
      <c r="C9" s="7" t="s">
        <v>38</v>
      </c>
      <c r="D9" s="7" t="s">
        <v>39</v>
      </c>
      <c r="E9" s="8" t="n">
        <v>1</v>
      </c>
      <c r="F9" s="10" t="n">
        <v>110</v>
      </c>
      <c r="G9" s="10" t="n">
        <f aca="false">E9*F9</f>
        <v>110</v>
      </c>
      <c r="H9" s="11" t="s">
        <v>17</v>
      </c>
      <c r="I9" s="6" t="s">
        <v>35</v>
      </c>
      <c r="J9" s="6" t="s">
        <v>25</v>
      </c>
      <c r="K9" s="7" t="s">
        <v>40</v>
      </c>
    </row>
    <row r="10" customFormat="false" ht="27.75" hidden="false" customHeight="true" outlineLevel="0" collapsed="false">
      <c r="A10" s="6" t="s">
        <v>41</v>
      </c>
      <c r="B10" s="6" t="s">
        <v>14</v>
      </c>
      <c r="C10" s="7" t="s">
        <v>42</v>
      </c>
      <c r="D10" s="7" t="s">
        <v>43</v>
      </c>
      <c r="E10" s="8" t="n">
        <v>1</v>
      </c>
      <c r="F10" s="10" t="n">
        <v>164</v>
      </c>
      <c r="G10" s="10" t="n">
        <f aca="false">E10*F10</f>
        <v>164</v>
      </c>
      <c r="H10" s="11" t="s">
        <v>17</v>
      </c>
      <c r="I10" s="6" t="s">
        <v>44</v>
      </c>
      <c r="J10" s="6" t="s">
        <v>25</v>
      </c>
      <c r="K10" s="7" t="s">
        <v>45</v>
      </c>
    </row>
    <row r="11" customFormat="false" ht="41.25" hidden="false" customHeight="true" outlineLevel="0" collapsed="false">
      <c r="A11" s="6" t="s">
        <v>46</v>
      </c>
      <c r="B11" s="6" t="s">
        <v>14</v>
      </c>
      <c r="C11" s="7" t="s">
        <v>47</v>
      </c>
      <c r="D11" s="7" t="s">
        <v>48</v>
      </c>
      <c r="E11" s="8" t="n">
        <v>1</v>
      </c>
      <c r="F11" s="10" t="n">
        <v>411</v>
      </c>
      <c r="G11" s="10" t="n">
        <f aca="false">E11*F11</f>
        <v>411</v>
      </c>
      <c r="H11" s="11" t="s">
        <v>17</v>
      </c>
      <c r="I11" s="6" t="s">
        <v>30</v>
      </c>
      <c r="J11" s="6" t="s">
        <v>25</v>
      </c>
      <c r="K11" s="7" t="s">
        <v>49</v>
      </c>
    </row>
    <row r="12" customFormat="false" ht="27.75" hidden="false" customHeight="true" outlineLevel="0" collapsed="false">
      <c r="A12" s="6" t="s">
        <v>50</v>
      </c>
      <c r="B12" s="6" t="s">
        <v>14</v>
      </c>
      <c r="C12" s="7" t="s">
        <v>51</v>
      </c>
      <c r="D12" s="7" t="s">
        <v>52</v>
      </c>
      <c r="E12" s="8" t="n">
        <v>1</v>
      </c>
      <c r="F12" s="10"/>
      <c r="G12" s="10" t="n">
        <f aca="false">E12*F12</f>
        <v>0</v>
      </c>
      <c r="H12" s="6" t="s">
        <v>53</v>
      </c>
      <c r="I12" s="6" t="s">
        <v>35</v>
      </c>
      <c r="J12" s="6" t="s">
        <v>54</v>
      </c>
      <c r="K12" s="7" t="s">
        <v>55</v>
      </c>
    </row>
    <row r="13" customFormat="false" ht="27.75" hidden="false" customHeight="true" outlineLevel="0" collapsed="false">
      <c r="A13" s="6" t="s">
        <v>56</v>
      </c>
      <c r="B13" s="6" t="s">
        <v>57</v>
      </c>
      <c r="C13" s="7" t="s">
        <v>58</v>
      </c>
      <c r="D13" s="7" t="s">
        <v>59</v>
      </c>
      <c r="E13" s="8" t="n">
        <v>1</v>
      </c>
      <c r="F13" s="10" t="n">
        <v>0</v>
      </c>
      <c r="G13" s="10" t="n">
        <f aca="false">E13*F13</f>
        <v>0</v>
      </c>
      <c r="H13" s="6" t="s">
        <v>53</v>
      </c>
      <c r="I13" s="6" t="s">
        <v>60</v>
      </c>
      <c r="J13" s="6" t="s">
        <v>61</v>
      </c>
      <c r="K13" s="7" t="s">
        <v>62</v>
      </c>
    </row>
    <row r="14" customFormat="false" ht="13.5" hidden="false" customHeight="true" outlineLevel="0" collapsed="false">
      <c r="A14" s="6" t="s">
        <v>63</v>
      </c>
      <c r="B14" s="6" t="s">
        <v>57</v>
      </c>
      <c r="C14" s="7" t="s">
        <v>64</v>
      </c>
      <c r="D14" s="7" t="s">
        <v>65</v>
      </c>
      <c r="E14" s="8" t="n">
        <v>1</v>
      </c>
      <c r="F14" s="10" t="n">
        <v>0</v>
      </c>
      <c r="G14" s="10" t="n">
        <f aca="false">E14*F14</f>
        <v>0</v>
      </c>
      <c r="H14" s="11" t="s">
        <v>17</v>
      </c>
      <c r="I14" s="6" t="s">
        <v>66</v>
      </c>
      <c r="J14" s="6" t="s">
        <v>67</v>
      </c>
      <c r="K14" s="7" t="s">
        <v>68</v>
      </c>
    </row>
    <row r="15" customFormat="false" ht="27.75" hidden="false" customHeight="true" outlineLevel="0" collapsed="false">
      <c r="A15" s="6" t="s">
        <v>69</v>
      </c>
      <c r="B15" s="6" t="s">
        <v>57</v>
      </c>
      <c r="C15" s="7" t="s">
        <v>70</v>
      </c>
      <c r="D15" s="7" t="s">
        <v>71</v>
      </c>
      <c r="E15" s="8" t="n">
        <v>1</v>
      </c>
      <c r="F15" s="10" t="n">
        <v>0</v>
      </c>
      <c r="G15" s="10" t="n">
        <f aca="false">E15*F15</f>
        <v>0</v>
      </c>
      <c r="H15" s="6" t="s">
        <v>53</v>
      </c>
      <c r="I15" s="6" t="s">
        <v>72</v>
      </c>
      <c r="J15" s="6" t="s">
        <v>73</v>
      </c>
      <c r="K15" s="7" t="s">
        <v>74</v>
      </c>
    </row>
    <row r="16" customFormat="false" ht="13.5" hidden="false" customHeight="true" outlineLevel="0" collapsed="false">
      <c r="A16" s="6" t="s">
        <v>75</v>
      </c>
      <c r="B16" s="6" t="s">
        <v>57</v>
      </c>
      <c r="C16" s="7" t="s">
        <v>76</v>
      </c>
      <c r="D16" s="7" t="s">
        <v>77</v>
      </c>
      <c r="E16" s="8" t="n">
        <v>1</v>
      </c>
      <c r="F16" s="10" t="n">
        <v>0</v>
      </c>
      <c r="G16" s="10" t="n">
        <f aca="false">E16*F16</f>
        <v>0</v>
      </c>
      <c r="H16" s="6" t="s">
        <v>78</v>
      </c>
      <c r="I16" s="6" t="s">
        <v>79</v>
      </c>
      <c r="J16" s="6" t="s">
        <v>80</v>
      </c>
      <c r="K16" s="7" t="s">
        <v>81</v>
      </c>
    </row>
    <row r="17" customFormat="false" ht="27.75" hidden="false" customHeight="true" outlineLevel="0" collapsed="false">
      <c r="A17" s="6" t="s">
        <v>82</v>
      </c>
      <c r="B17" s="6" t="s">
        <v>83</v>
      </c>
      <c r="C17" s="7" t="s">
        <v>84</v>
      </c>
      <c r="D17" s="7" t="s">
        <v>85</v>
      </c>
      <c r="E17" s="8" t="n">
        <v>1</v>
      </c>
      <c r="F17" s="10"/>
      <c r="G17" s="10" t="n">
        <f aca="false">E17*F17</f>
        <v>0</v>
      </c>
      <c r="H17" s="11" t="s">
        <v>17</v>
      </c>
      <c r="I17" s="6" t="s">
        <v>86</v>
      </c>
      <c r="J17" s="6" t="s">
        <v>87</v>
      </c>
      <c r="K17" s="7" t="s">
        <v>88</v>
      </c>
    </row>
    <row r="18" customFormat="false" ht="27.75" hidden="false" customHeight="true" outlineLevel="0" collapsed="false">
      <c r="A18" s="6" t="s">
        <v>89</v>
      </c>
      <c r="B18" s="6" t="s">
        <v>90</v>
      </c>
      <c r="C18" s="7" t="s">
        <v>91</v>
      </c>
      <c r="D18" s="7" t="s">
        <v>92</v>
      </c>
      <c r="E18" s="8" t="n">
        <v>1</v>
      </c>
      <c r="F18" s="10"/>
      <c r="G18" s="10" t="n">
        <f aca="false">E18*F18</f>
        <v>0</v>
      </c>
      <c r="H18" s="11" t="s">
        <v>17</v>
      </c>
      <c r="I18" s="6" t="s">
        <v>93</v>
      </c>
      <c r="J18" s="6" t="s">
        <v>94</v>
      </c>
      <c r="K18" s="7" t="s">
        <v>95</v>
      </c>
    </row>
    <row r="19" customFormat="false" ht="27.75" hidden="false" customHeight="true" outlineLevel="0" collapsed="false">
      <c r="A19" s="6" t="s">
        <v>96</v>
      </c>
      <c r="B19" s="6" t="s">
        <v>90</v>
      </c>
      <c r="C19" s="7" t="s">
        <v>97</v>
      </c>
      <c r="D19" s="7" t="s">
        <v>98</v>
      </c>
      <c r="E19" s="8" t="n">
        <v>2</v>
      </c>
      <c r="F19" s="10"/>
      <c r="G19" s="10" t="n">
        <f aca="false">E19*F19</f>
        <v>0</v>
      </c>
      <c r="H19" s="6" t="s">
        <v>53</v>
      </c>
      <c r="I19" s="6" t="s">
        <v>99</v>
      </c>
      <c r="J19" s="6" t="s">
        <v>100</v>
      </c>
      <c r="K19" s="7" t="s">
        <v>101</v>
      </c>
    </row>
    <row r="20" customFormat="false" ht="13.5" hidden="false" customHeight="true" outlineLevel="0" collapsed="false">
      <c r="A20" s="6" t="s">
        <v>102</v>
      </c>
      <c r="B20" s="6" t="s">
        <v>103</v>
      </c>
      <c r="C20" s="7" t="s">
        <v>104</v>
      </c>
      <c r="D20" s="7" t="s">
        <v>105</v>
      </c>
      <c r="E20" s="8" t="n">
        <v>1</v>
      </c>
      <c r="F20" s="10" t="n">
        <v>274</v>
      </c>
      <c r="G20" s="10" t="n">
        <f aca="false">E20*F20</f>
        <v>274</v>
      </c>
      <c r="H20" s="6" t="s">
        <v>53</v>
      </c>
      <c r="I20" s="6" t="s">
        <v>44</v>
      </c>
      <c r="J20" s="6" t="s">
        <v>25</v>
      </c>
      <c r="K20" s="7" t="s">
        <v>106</v>
      </c>
    </row>
    <row r="21" customFormat="false" ht="41.25" hidden="false" customHeight="true" outlineLevel="0" collapsed="false">
      <c r="A21" s="6" t="s">
        <v>107</v>
      </c>
      <c r="B21" s="6" t="s">
        <v>108</v>
      </c>
      <c r="C21" s="7" t="s">
        <v>109</v>
      </c>
      <c r="D21" s="7" t="s">
        <v>110</v>
      </c>
      <c r="E21" s="8" t="n">
        <v>1</v>
      </c>
      <c r="F21" s="10"/>
      <c r="G21" s="10" t="n">
        <f aca="false">E21*F21</f>
        <v>0</v>
      </c>
      <c r="H21" s="6" t="s">
        <v>53</v>
      </c>
      <c r="I21" s="6" t="s">
        <v>72</v>
      </c>
      <c r="J21" s="6" t="s">
        <v>111</v>
      </c>
      <c r="K21" s="7" t="s">
        <v>112</v>
      </c>
    </row>
    <row r="22" customFormat="false" ht="27.75" hidden="false" customHeight="true" outlineLevel="0" collapsed="false">
      <c r="A22" s="6" t="s">
        <v>113</v>
      </c>
      <c r="B22" s="6" t="s">
        <v>57</v>
      </c>
      <c r="C22" s="7" t="s">
        <v>114</v>
      </c>
      <c r="D22" s="7" t="s">
        <v>115</v>
      </c>
      <c r="E22" s="8" t="n">
        <v>1</v>
      </c>
      <c r="F22" s="10" t="n">
        <v>0</v>
      </c>
      <c r="G22" s="10" t="n">
        <f aca="false">E22*F22</f>
        <v>0</v>
      </c>
      <c r="H22" s="11" t="s">
        <v>17</v>
      </c>
      <c r="I22" s="6" t="s">
        <v>66</v>
      </c>
      <c r="J22" s="6" t="s">
        <v>116</v>
      </c>
      <c r="K22" s="7" t="s">
        <v>117</v>
      </c>
    </row>
    <row r="23" customFormat="false" ht="27.75" hidden="false" customHeight="true" outlineLevel="0" collapsed="false">
      <c r="A23" s="6" t="s">
        <v>118</v>
      </c>
      <c r="B23" s="6" t="s">
        <v>119</v>
      </c>
      <c r="C23" s="7" t="s">
        <v>120</v>
      </c>
      <c r="D23" s="7" t="s">
        <v>121</v>
      </c>
      <c r="E23" s="8" t="n">
        <v>1</v>
      </c>
      <c r="F23" s="10"/>
      <c r="G23" s="10" t="n">
        <f aca="false">E23*F23</f>
        <v>0</v>
      </c>
      <c r="H23" s="6" t="s">
        <v>53</v>
      </c>
      <c r="I23" s="6" t="s">
        <v>72</v>
      </c>
      <c r="J23" s="6" t="s">
        <v>25</v>
      </c>
      <c r="K23" s="7" t="s">
        <v>122</v>
      </c>
    </row>
    <row r="24" customFormat="false" ht="13.5" hidden="false" customHeight="true" outlineLevel="0" collapsed="false">
      <c r="A24" s="6" t="s">
        <v>123</v>
      </c>
      <c r="B24" s="6" t="s">
        <v>119</v>
      </c>
      <c r="C24" s="7" t="s">
        <v>124</v>
      </c>
      <c r="D24" s="7" t="s">
        <v>125</v>
      </c>
      <c r="E24" s="8" t="n">
        <v>1</v>
      </c>
      <c r="F24" s="0"/>
      <c r="G24" s="10" t="n">
        <f aca="false">E24*F24</f>
        <v>0</v>
      </c>
      <c r="H24" s="6" t="s">
        <v>53</v>
      </c>
      <c r="I24" s="6" t="s">
        <v>126</v>
      </c>
      <c r="J24" s="6" t="s">
        <v>127</v>
      </c>
      <c r="K24" s="7" t="s">
        <v>128</v>
      </c>
    </row>
    <row r="25" customFormat="false" ht="27.75" hidden="false" customHeight="true" outlineLevel="0" collapsed="false">
      <c r="A25" s="6" t="s">
        <v>129</v>
      </c>
      <c r="B25" s="6" t="s">
        <v>57</v>
      </c>
      <c r="C25" s="7" t="s">
        <v>130</v>
      </c>
      <c r="D25" s="7" t="s">
        <v>131</v>
      </c>
      <c r="E25" s="8" t="n">
        <v>1</v>
      </c>
      <c r="F25" s="10"/>
      <c r="G25" s="10" t="n">
        <f aca="false">E25*F25</f>
        <v>0</v>
      </c>
      <c r="H25" s="6" t="s">
        <v>78</v>
      </c>
      <c r="I25" s="6" t="s">
        <v>60</v>
      </c>
      <c r="J25" s="6" t="s">
        <v>100</v>
      </c>
      <c r="K25" s="7" t="s">
        <v>132</v>
      </c>
    </row>
    <row r="26" customFormat="false" ht="27.75" hidden="false" customHeight="true" outlineLevel="0" collapsed="false">
      <c r="A26" s="6" t="s">
        <v>133</v>
      </c>
      <c r="B26" s="6" t="s">
        <v>103</v>
      </c>
      <c r="C26" s="7" t="s">
        <v>134</v>
      </c>
      <c r="D26" s="7" t="s">
        <v>135</v>
      </c>
      <c r="E26" s="8" t="n">
        <v>1</v>
      </c>
      <c r="F26" s="10"/>
      <c r="G26" s="10" t="n">
        <f aca="false">E26*F26</f>
        <v>0</v>
      </c>
      <c r="H26" s="6" t="s">
        <v>136</v>
      </c>
      <c r="I26" s="6" t="s">
        <v>137</v>
      </c>
      <c r="J26" s="6" t="s">
        <v>138</v>
      </c>
      <c r="K26" s="7" t="s">
        <v>139</v>
      </c>
    </row>
    <row r="27" customFormat="false" ht="13.5" hidden="false" customHeight="true" outlineLevel="0" collapsed="false">
      <c r="A27" s="6" t="s">
        <v>140</v>
      </c>
      <c r="B27" s="6" t="s">
        <v>103</v>
      </c>
      <c r="C27" s="7" t="s">
        <v>141</v>
      </c>
      <c r="D27" s="7" t="s">
        <v>142</v>
      </c>
      <c r="E27" s="8" t="n">
        <v>1</v>
      </c>
      <c r="F27" s="10"/>
      <c r="G27" s="10" t="n">
        <f aca="false">E27*F27</f>
        <v>0</v>
      </c>
      <c r="H27" s="6" t="s">
        <v>53</v>
      </c>
      <c r="I27" s="6" t="s">
        <v>126</v>
      </c>
      <c r="J27" s="6" t="s">
        <v>25</v>
      </c>
      <c r="K27" s="7" t="s">
        <v>143</v>
      </c>
    </row>
    <row r="28" customFormat="false" ht="27.75" hidden="false" customHeight="true" outlineLevel="0" collapsed="false">
      <c r="A28" s="6" t="s">
        <v>144</v>
      </c>
      <c r="B28" s="6" t="s">
        <v>57</v>
      </c>
      <c r="C28" s="7" t="s">
        <v>145</v>
      </c>
      <c r="D28" s="7" t="s">
        <v>146</v>
      </c>
      <c r="E28" s="8" t="n">
        <v>1</v>
      </c>
      <c r="F28" s="10" t="n">
        <v>685</v>
      </c>
      <c r="G28" s="10" t="n">
        <f aca="false">E28*F28</f>
        <v>685</v>
      </c>
      <c r="H28" s="6" t="s">
        <v>53</v>
      </c>
      <c r="I28" s="6" t="s">
        <v>72</v>
      </c>
      <c r="J28" s="6" t="s">
        <v>147</v>
      </c>
      <c r="K28" s="7" t="s">
        <v>148</v>
      </c>
    </row>
    <row r="29" customFormat="false" ht="27.75" hidden="false" customHeight="true" outlineLevel="0" collapsed="false">
      <c r="A29" s="6" t="s">
        <v>149</v>
      </c>
      <c r="B29" s="6" t="s">
        <v>57</v>
      </c>
      <c r="C29" s="7" t="s">
        <v>150</v>
      </c>
      <c r="D29" s="7" t="s">
        <v>151</v>
      </c>
      <c r="E29" s="8" t="n">
        <v>1</v>
      </c>
      <c r="F29" s="10" t="n">
        <v>0</v>
      </c>
      <c r="G29" s="10" t="n">
        <f aca="false">E29*F29</f>
        <v>0</v>
      </c>
      <c r="H29" s="11" t="s">
        <v>17</v>
      </c>
      <c r="I29" s="6" t="s">
        <v>66</v>
      </c>
      <c r="J29" s="6" t="s">
        <v>152</v>
      </c>
      <c r="K29" s="7" t="s">
        <v>153</v>
      </c>
    </row>
    <row r="30" customFormat="false" ht="41.25" hidden="false" customHeight="true" outlineLevel="0" collapsed="false">
      <c r="A30" s="6" t="s">
        <v>154</v>
      </c>
      <c r="B30" s="6" t="s">
        <v>103</v>
      </c>
      <c r="C30" s="7" t="s">
        <v>155</v>
      </c>
      <c r="D30" s="7" t="s">
        <v>156</v>
      </c>
      <c r="E30" s="8" t="n">
        <v>1</v>
      </c>
      <c r="F30" s="10" t="n">
        <v>342</v>
      </c>
      <c r="G30" s="10" t="n">
        <f aca="false">E30*F30</f>
        <v>342</v>
      </c>
      <c r="H30" s="6" t="s">
        <v>53</v>
      </c>
      <c r="I30" s="6" t="s">
        <v>30</v>
      </c>
      <c r="J30" s="6" t="s">
        <v>25</v>
      </c>
      <c r="K30" s="7" t="s">
        <v>157</v>
      </c>
    </row>
    <row r="31" customFormat="false" ht="27.75" hidden="false" customHeight="true" outlineLevel="0" collapsed="false">
      <c r="A31" s="6" t="s">
        <v>158</v>
      </c>
      <c r="B31" s="6" t="s">
        <v>108</v>
      </c>
      <c r="C31" s="7" t="s">
        <v>159</v>
      </c>
      <c r="D31" s="7" t="s">
        <v>160</v>
      </c>
      <c r="E31" s="8" t="n">
        <v>1</v>
      </c>
      <c r="F31" s="9" t="n">
        <v>1369</v>
      </c>
      <c r="G31" s="10" t="n">
        <f aca="false">E31*F31</f>
        <v>1369</v>
      </c>
      <c r="H31" s="11" t="s">
        <v>17</v>
      </c>
      <c r="I31" s="6" t="s">
        <v>161</v>
      </c>
      <c r="J31" s="6" t="s">
        <v>162</v>
      </c>
      <c r="K31" s="7" t="s">
        <v>163</v>
      </c>
    </row>
    <row r="32" customFormat="false" ht="27.75" hidden="false" customHeight="true" outlineLevel="0" collapsed="false">
      <c r="A32" s="6" t="s">
        <v>164</v>
      </c>
      <c r="B32" s="6" t="s">
        <v>165</v>
      </c>
      <c r="C32" s="7" t="s">
        <v>166</v>
      </c>
      <c r="D32" s="7" t="s">
        <v>167</v>
      </c>
      <c r="E32" s="8" t="n">
        <v>1</v>
      </c>
      <c r="F32" s="10" t="n">
        <v>247</v>
      </c>
      <c r="G32" s="10" t="n">
        <f aca="false">E32*F32</f>
        <v>247</v>
      </c>
      <c r="H32" s="11" t="s">
        <v>17</v>
      </c>
      <c r="I32" s="6" t="s">
        <v>35</v>
      </c>
      <c r="J32" s="6" t="s">
        <v>25</v>
      </c>
      <c r="K32" s="7" t="s">
        <v>168</v>
      </c>
    </row>
    <row r="33" customFormat="false" ht="27.75" hidden="false" customHeight="true" outlineLevel="0" collapsed="false">
      <c r="A33" s="6" t="s">
        <v>169</v>
      </c>
      <c r="B33" s="6" t="s">
        <v>170</v>
      </c>
      <c r="C33" s="7" t="s">
        <v>171</v>
      </c>
      <c r="D33" s="7" t="s">
        <v>172</v>
      </c>
      <c r="E33" s="8" t="n">
        <v>2</v>
      </c>
      <c r="F33" s="10" t="n">
        <v>171</v>
      </c>
      <c r="G33" s="10" t="n">
        <f aca="false">E33*F33</f>
        <v>342</v>
      </c>
      <c r="H33" s="11" t="s">
        <v>17</v>
      </c>
      <c r="I33" s="6" t="s">
        <v>35</v>
      </c>
      <c r="J33" s="6" t="s">
        <v>25</v>
      </c>
      <c r="K33" s="7" t="s">
        <v>173</v>
      </c>
    </row>
    <row r="34" customFormat="false" ht="13.5" hidden="false" customHeight="true" outlineLevel="0" collapsed="false">
      <c r="A34" s="6" t="s">
        <v>174</v>
      </c>
      <c r="B34" s="6" t="s">
        <v>170</v>
      </c>
      <c r="C34" s="7" t="s">
        <v>175</v>
      </c>
      <c r="D34" s="7" t="s">
        <v>176</v>
      </c>
      <c r="E34" s="8" t="n">
        <v>1</v>
      </c>
      <c r="F34" s="10" t="n">
        <v>548</v>
      </c>
      <c r="G34" s="10" t="n">
        <f aca="false">E34*F34</f>
        <v>548</v>
      </c>
      <c r="H34" s="11" t="s">
        <v>17</v>
      </c>
      <c r="I34" s="6" t="s">
        <v>72</v>
      </c>
      <c r="J34" s="6" t="s">
        <v>25</v>
      </c>
      <c r="K34" s="7" t="s">
        <v>177</v>
      </c>
    </row>
    <row r="35" customFormat="false" ht="41.25" hidden="false" customHeight="true" outlineLevel="0" collapsed="false">
      <c r="A35" s="6" t="s">
        <v>178</v>
      </c>
      <c r="B35" s="6" t="s">
        <v>170</v>
      </c>
      <c r="C35" s="7" t="s">
        <v>179</v>
      </c>
      <c r="D35" s="7" t="s">
        <v>180</v>
      </c>
      <c r="E35" s="8" t="n">
        <v>1</v>
      </c>
      <c r="F35" s="10" t="n">
        <v>822</v>
      </c>
      <c r="G35" s="10" t="n">
        <f aca="false">E35*F35</f>
        <v>822</v>
      </c>
      <c r="H35" s="11" t="s">
        <v>17</v>
      </c>
      <c r="I35" s="6" t="s">
        <v>30</v>
      </c>
      <c r="J35" s="6" t="s">
        <v>100</v>
      </c>
      <c r="K35" s="7" t="s">
        <v>181</v>
      </c>
    </row>
    <row r="36" customFormat="false" ht="13.5" hidden="false" customHeight="true" outlineLevel="0" collapsed="false">
      <c r="A36" s="6" t="s">
        <v>182</v>
      </c>
      <c r="B36" s="6" t="s">
        <v>170</v>
      </c>
      <c r="C36" s="7" t="s">
        <v>183</v>
      </c>
      <c r="D36" s="7" t="s">
        <v>184</v>
      </c>
      <c r="E36" s="8" t="n">
        <v>1</v>
      </c>
      <c r="F36" s="10" t="n">
        <v>411</v>
      </c>
      <c r="G36" s="10" t="n">
        <f aca="false">E36*F36</f>
        <v>411</v>
      </c>
      <c r="H36" s="6" t="s">
        <v>53</v>
      </c>
      <c r="I36" s="6" t="s">
        <v>30</v>
      </c>
      <c r="J36" s="6" t="s">
        <v>25</v>
      </c>
      <c r="K36" s="7" t="s">
        <v>185</v>
      </c>
    </row>
    <row r="37" customFormat="false" ht="27.75" hidden="false" customHeight="true" outlineLevel="0" collapsed="false">
      <c r="A37" s="6" t="s">
        <v>186</v>
      </c>
      <c r="B37" s="6" t="s">
        <v>108</v>
      </c>
      <c r="C37" s="7" t="s">
        <v>187</v>
      </c>
      <c r="D37" s="7" t="s">
        <v>188</v>
      </c>
      <c r="E37" s="8" t="n">
        <v>5</v>
      </c>
      <c r="F37" s="10" t="n">
        <v>55</v>
      </c>
      <c r="G37" s="10" t="n">
        <f aca="false">E37*F37</f>
        <v>275</v>
      </c>
      <c r="H37" s="6" t="s">
        <v>53</v>
      </c>
      <c r="I37" s="6" t="s">
        <v>35</v>
      </c>
      <c r="J37" s="6" t="s">
        <v>25</v>
      </c>
      <c r="K37" s="7" t="s">
        <v>189</v>
      </c>
    </row>
    <row r="38" customFormat="false" ht="27.75" hidden="false" customHeight="true" outlineLevel="0" collapsed="false">
      <c r="A38" s="6" t="s">
        <v>190</v>
      </c>
      <c r="B38" s="6" t="s">
        <v>108</v>
      </c>
      <c r="C38" s="7" t="s">
        <v>191</v>
      </c>
      <c r="D38" s="7" t="s">
        <v>192</v>
      </c>
      <c r="E38" s="8" t="n">
        <v>1</v>
      </c>
      <c r="F38" s="10" t="n">
        <v>206</v>
      </c>
      <c r="G38" s="10" t="n">
        <f aca="false">E38*F38</f>
        <v>206</v>
      </c>
      <c r="H38" s="11" t="s">
        <v>17</v>
      </c>
      <c r="I38" s="6" t="s">
        <v>30</v>
      </c>
      <c r="J38" s="6" t="s">
        <v>193</v>
      </c>
      <c r="K38" s="7" t="s">
        <v>194</v>
      </c>
    </row>
    <row r="39" customFormat="false" ht="27.75" hidden="false" customHeight="true" outlineLevel="0" collapsed="false">
      <c r="A39" s="6" t="s">
        <v>195</v>
      </c>
      <c r="B39" s="6" t="s">
        <v>14</v>
      </c>
      <c r="C39" s="7" t="s">
        <v>196</v>
      </c>
      <c r="D39" s="7" t="s">
        <v>197</v>
      </c>
      <c r="E39" s="8" t="n">
        <v>1</v>
      </c>
      <c r="F39" s="10" t="n">
        <v>548</v>
      </c>
      <c r="G39" s="10" t="n">
        <f aca="false">E39*F39</f>
        <v>548</v>
      </c>
      <c r="H39" s="11" t="s">
        <v>17</v>
      </c>
      <c r="I39" s="6" t="s">
        <v>198</v>
      </c>
      <c r="J39" s="6" t="s">
        <v>25</v>
      </c>
      <c r="K39" s="7" t="s">
        <v>199</v>
      </c>
    </row>
    <row r="40" customFormat="false" ht="27.75" hidden="false" customHeight="true" outlineLevel="0" collapsed="false">
      <c r="A40" s="6" t="s">
        <v>200</v>
      </c>
      <c r="B40" s="6" t="s">
        <v>14</v>
      </c>
      <c r="C40" s="7" t="s">
        <v>201</v>
      </c>
      <c r="D40" s="7" t="s">
        <v>202</v>
      </c>
      <c r="E40" s="8" t="n">
        <v>1</v>
      </c>
      <c r="F40" s="10"/>
      <c r="G40" s="10" t="n">
        <f aca="false">E40*F40</f>
        <v>0</v>
      </c>
      <c r="H40" s="11" t="s">
        <v>17</v>
      </c>
      <c r="I40" s="6" t="s">
        <v>203</v>
      </c>
      <c r="J40" s="6" t="s">
        <v>25</v>
      </c>
      <c r="K40" s="7" t="s">
        <v>204</v>
      </c>
    </row>
    <row r="41" customFormat="false" ht="27.75" hidden="false" customHeight="true" outlineLevel="0" collapsed="false">
      <c r="A41" s="6" t="s">
        <v>205</v>
      </c>
      <c r="B41" s="6" t="s">
        <v>206</v>
      </c>
      <c r="C41" s="7" t="s">
        <v>207</v>
      </c>
      <c r="D41" s="7" t="s">
        <v>208</v>
      </c>
      <c r="E41" s="8" t="n">
        <v>1</v>
      </c>
      <c r="F41" s="10" t="n">
        <v>206</v>
      </c>
      <c r="G41" s="10" t="n">
        <f aca="false">E41*F41</f>
        <v>206</v>
      </c>
      <c r="H41" s="11" t="s">
        <v>17</v>
      </c>
      <c r="I41" s="6" t="s">
        <v>30</v>
      </c>
      <c r="J41" s="6" t="s">
        <v>25</v>
      </c>
      <c r="K41" s="7" t="s">
        <v>209</v>
      </c>
    </row>
    <row r="42" customFormat="false" ht="13.5" hidden="false" customHeight="true" outlineLevel="0" collapsed="false">
      <c r="A42" s="6" t="s">
        <v>210</v>
      </c>
      <c r="B42" s="6" t="s">
        <v>108</v>
      </c>
      <c r="C42" s="7" t="s">
        <v>211</v>
      </c>
      <c r="D42" s="7" t="s">
        <v>212</v>
      </c>
      <c r="E42" s="8" t="n">
        <v>1</v>
      </c>
      <c r="F42" s="10" t="n">
        <v>891</v>
      </c>
      <c r="G42" s="10" t="n">
        <f aca="false">E42*F42</f>
        <v>891</v>
      </c>
      <c r="H42" s="6" t="s">
        <v>53</v>
      </c>
      <c r="I42" s="6" t="s">
        <v>126</v>
      </c>
      <c r="J42" s="6" t="s">
        <v>25</v>
      </c>
      <c r="K42" s="7" t="s">
        <v>213</v>
      </c>
    </row>
    <row r="43" customFormat="false" ht="13.5" hidden="false" customHeight="true" outlineLevel="0" collapsed="false">
      <c r="A43" s="6" t="s">
        <v>214</v>
      </c>
      <c r="B43" s="6" t="s">
        <v>215</v>
      </c>
      <c r="C43" s="7" t="s">
        <v>216</v>
      </c>
      <c r="D43" s="7" t="s">
        <v>217</v>
      </c>
      <c r="E43" s="8" t="n">
        <v>1</v>
      </c>
      <c r="F43" s="9" t="n">
        <v>1233</v>
      </c>
      <c r="G43" s="10" t="n">
        <f aca="false">E43*F43</f>
        <v>1233</v>
      </c>
      <c r="H43" s="11" t="s">
        <v>17</v>
      </c>
      <c r="I43" s="6" t="s">
        <v>218</v>
      </c>
      <c r="J43" s="6" t="s">
        <v>25</v>
      </c>
      <c r="K43" s="7" t="s">
        <v>219</v>
      </c>
    </row>
    <row r="44" customFormat="false" ht="27.75" hidden="false" customHeight="true" outlineLevel="0" collapsed="false">
      <c r="A44" s="6" t="s">
        <v>220</v>
      </c>
      <c r="B44" s="6" t="s">
        <v>215</v>
      </c>
      <c r="C44" s="7" t="s">
        <v>221</v>
      </c>
      <c r="D44" s="7" t="s">
        <v>222</v>
      </c>
      <c r="E44" s="8" t="n">
        <v>1</v>
      </c>
      <c r="F44" s="10" t="n">
        <v>822</v>
      </c>
      <c r="G44" s="10" t="n">
        <f aca="false">E44*F44</f>
        <v>822</v>
      </c>
      <c r="H44" s="11" t="s">
        <v>17</v>
      </c>
      <c r="I44" s="6" t="s">
        <v>198</v>
      </c>
      <c r="J44" s="6" t="s">
        <v>223</v>
      </c>
      <c r="K44" s="7" t="s">
        <v>224</v>
      </c>
    </row>
    <row r="45" customFormat="false" ht="27.75" hidden="false" customHeight="true" outlineLevel="0" collapsed="false">
      <c r="A45" s="6" t="s">
        <v>225</v>
      </c>
      <c r="B45" s="6" t="s">
        <v>226</v>
      </c>
      <c r="C45" s="7" t="s">
        <v>227</v>
      </c>
      <c r="D45" s="7" t="s">
        <v>228</v>
      </c>
      <c r="E45" s="8" t="n">
        <v>1</v>
      </c>
      <c r="F45" s="9" t="n">
        <v>1644</v>
      </c>
      <c r="G45" s="10" t="n">
        <f aca="false">E45*F45</f>
        <v>1644</v>
      </c>
      <c r="H45" s="11" t="s">
        <v>17</v>
      </c>
      <c r="I45" s="6" t="s">
        <v>18</v>
      </c>
      <c r="J45" s="6" t="s">
        <v>229</v>
      </c>
      <c r="K45" s="7" t="s">
        <v>230</v>
      </c>
    </row>
    <row r="46" customFormat="false" ht="27.75" hidden="false" customHeight="true" outlineLevel="0" collapsed="false">
      <c r="A46" s="6" t="s">
        <v>231</v>
      </c>
      <c r="B46" s="6" t="s">
        <v>226</v>
      </c>
      <c r="C46" s="7" t="s">
        <v>232</v>
      </c>
      <c r="D46" s="7" t="s">
        <v>233</v>
      </c>
      <c r="E46" s="8" t="n">
        <v>1</v>
      </c>
      <c r="F46" s="10" t="n">
        <v>685</v>
      </c>
      <c r="G46" s="10" t="n">
        <f aca="false">E46*F46</f>
        <v>685</v>
      </c>
      <c r="H46" s="11" t="s">
        <v>17</v>
      </c>
      <c r="I46" s="6" t="s">
        <v>198</v>
      </c>
      <c r="J46" s="6" t="s">
        <v>100</v>
      </c>
      <c r="K46" s="7" t="s">
        <v>234</v>
      </c>
    </row>
    <row r="47" customFormat="false" ht="27.75" hidden="false" customHeight="true" outlineLevel="0" collapsed="false">
      <c r="A47" s="6" t="s">
        <v>235</v>
      </c>
      <c r="B47" s="6" t="s">
        <v>14</v>
      </c>
      <c r="C47" s="7" t="s">
        <v>236</v>
      </c>
      <c r="D47" s="7" t="s">
        <v>237</v>
      </c>
      <c r="E47" s="8" t="n">
        <v>2</v>
      </c>
      <c r="F47" s="10" t="n">
        <v>55</v>
      </c>
      <c r="G47" s="10" t="n">
        <f aca="false">E47*F47</f>
        <v>110</v>
      </c>
      <c r="H47" s="11" t="s">
        <v>17</v>
      </c>
      <c r="I47" s="6" t="s">
        <v>44</v>
      </c>
      <c r="J47" s="6" t="s">
        <v>25</v>
      </c>
      <c r="K47" s="7" t="s">
        <v>238</v>
      </c>
    </row>
    <row r="48" customFormat="false" ht="41.25" hidden="false" customHeight="true" outlineLevel="0" collapsed="false">
      <c r="A48" s="6" t="s">
        <v>239</v>
      </c>
      <c r="B48" s="6" t="s">
        <v>226</v>
      </c>
      <c r="C48" s="7" t="s">
        <v>240</v>
      </c>
      <c r="D48" s="7" t="s">
        <v>241</v>
      </c>
      <c r="E48" s="8" t="n">
        <v>1</v>
      </c>
      <c r="F48" s="10" t="n">
        <v>342</v>
      </c>
      <c r="G48" s="10" t="n">
        <f aca="false">E48*F48</f>
        <v>342</v>
      </c>
      <c r="H48" s="6" t="s">
        <v>53</v>
      </c>
      <c r="I48" s="6" t="s">
        <v>30</v>
      </c>
      <c r="J48" s="6" t="s">
        <v>25</v>
      </c>
      <c r="K48" s="7" t="s">
        <v>242</v>
      </c>
    </row>
    <row r="49" customFormat="false" ht="27.75" hidden="false" customHeight="true" outlineLevel="0" collapsed="false">
      <c r="A49" s="6" t="s">
        <v>243</v>
      </c>
      <c r="B49" s="6" t="s">
        <v>244</v>
      </c>
      <c r="C49" s="7" t="s">
        <v>245</v>
      </c>
      <c r="D49" s="7" t="s">
        <v>246</v>
      </c>
      <c r="E49" s="8" t="n">
        <v>1</v>
      </c>
      <c r="F49" s="9" t="n">
        <v>2959</v>
      </c>
      <c r="G49" s="10" t="n">
        <f aca="false">E49*F49</f>
        <v>2959</v>
      </c>
      <c r="H49" s="11" t="s">
        <v>17</v>
      </c>
      <c r="I49" s="6" t="s">
        <v>198</v>
      </c>
      <c r="J49" s="6" t="s">
        <v>247</v>
      </c>
      <c r="K49" s="7" t="s">
        <v>248</v>
      </c>
    </row>
    <row r="50" customFormat="false" ht="27.75" hidden="false" customHeight="true" outlineLevel="0" collapsed="false">
      <c r="A50" s="6" t="s">
        <v>249</v>
      </c>
      <c r="B50" s="6" t="s">
        <v>103</v>
      </c>
      <c r="C50" s="7" t="s">
        <v>250</v>
      </c>
      <c r="D50" s="7" t="s">
        <v>251</v>
      </c>
      <c r="E50" s="8" t="n">
        <v>220</v>
      </c>
      <c r="F50" s="10" t="n">
        <v>7</v>
      </c>
      <c r="G50" s="10" t="n">
        <f aca="false">E50*F50</f>
        <v>1540</v>
      </c>
      <c r="H50" s="11" t="s">
        <v>17</v>
      </c>
      <c r="I50" s="6" t="s">
        <v>30</v>
      </c>
      <c r="J50" s="6" t="s">
        <v>252</v>
      </c>
      <c r="K50" s="7" t="s">
        <v>253</v>
      </c>
    </row>
    <row r="51" customFormat="false" ht="27.75" hidden="false" customHeight="true" outlineLevel="0" collapsed="false">
      <c r="A51" s="6" t="s">
        <v>254</v>
      </c>
      <c r="B51" s="6" t="s">
        <v>103</v>
      </c>
      <c r="C51" s="7" t="s">
        <v>255</v>
      </c>
      <c r="D51" s="7" t="s">
        <v>256</v>
      </c>
      <c r="E51" s="8" t="n">
        <v>1</v>
      </c>
      <c r="F51" s="10" t="n">
        <v>548</v>
      </c>
      <c r="G51" s="10" t="n">
        <f aca="false">E51*F51</f>
        <v>548</v>
      </c>
      <c r="H51" s="6" t="s">
        <v>53</v>
      </c>
      <c r="I51" s="6" t="s">
        <v>72</v>
      </c>
      <c r="J51" s="6" t="s">
        <v>25</v>
      </c>
      <c r="K51" s="7" t="s">
        <v>257</v>
      </c>
    </row>
    <row r="52" customFormat="false" ht="13.5" hidden="false" customHeight="true" outlineLevel="0" collapsed="false">
      <c r="A52" s="6" t="s">
        <v>258</v>
      </c>
      <c r="B52" s="6" t="s">
        <v>259</v>
      </c>
      <c r="C52" s="7" t="s">
        <v>260</v>
      </c>
      <c r="D52" s="7" t="s">
        <v>261</v>
      </c>
      <c r="E52" s="8" t="n">
        <v>1</v>
      </c>
      <c r="F52" s="9" t="n">
        <v>1644</v>
      </c>
      <c r="G52" s="10" t="n">
        <f aca="false">E52*F52</f>
        <v>1644</v>
      </c>
      <c r="H52" s="6" t="s">
        <v>53</v>
      </c>
      <c r="I52" s="6" t="s">
        <v>72</v>
      </c>
      <c r="J52" s="6" t="s">
        <v>25</v>
      </c>
      <c r="K52" s="7" t="s">
        <v>262</v>
      </c>
    </row>
    <row r="53" customFormat="false" ht="13.5" hidden="false" customHeight="true" outlineLevel="0" collapsed="false">
      <c r="A53" s="6" t="s">
        <v>263</v>
      </c>
      <c r="B53" s="6" t="s">
        <v>264</v>
      </c>
      <c r="C53" s="7" t="s">
        <v>265</v>
      </c>
      <c r="D53" s="7" t="s">
        <v>266</v>
      </c>
      <c r="E53" s="8" t="n">
        <v>1</v>
      </c>
      <c r="F53" s="10" t="n">
        <v>685</v>
      </c>
      <c r="G53" s="10" t="n">
        <f aca="false">E53*F53</f>
        <v>685</v>
      </c>
      <c r="H53" s="6" t="s">
        <v>53</v>
      </c>
      <c r="I53" s="6" t="s">
        <v>267</v>
      </c>
      <c r="J53" s="6" t="s">
        <v>268</v>
      </c>
      <c r="K53" s="7" t="s">
        <v>269</v>
      </c>
    </row>
    <row r="54" customFormat="false" ht="41.25" hidden="false" customHeight="true" outlineLevel="0" collapsed="false">
      <c r="A54" s="6" t="s">
        <v>270</v>
      </c>
      <c r="B54" s="6" t="s">
        <v>259</v>
      </c>
      <c r="C54" s="7" t="s">
        <v>271</v>
      </c>
      <c r="D54" s="7" t="s">
        <v>272</v>
      </c>
      <c r="E54" s="8" t="n">
        <v>1</v>
      </c>
      <c r="F54" s="10" t="n">
        <v>0</v>
      </c>
      <c r="G54" s="10" t="n">
        <f aca="false">E54*F54</f>
        <v>0</v>
      </c>
      <c r="H54" s="11" t="s">
        <v>17</v>
      </c>
      <c r="I54" s="6" t="s">
        <v>66</v>
      </c>
      <c r="J54" s="6" t="s">
        <v>152</v>
      </c>
      <c r="K54" s="7" t="s">
        <v>273</v>
      </c>
    </row>
    <row r="55" customFormat="false" ht="27.75" hidden="false" customHeight="true" outlineLevel="0" collapsed="false">
      <c r="A55" s="6" t="s">
        <v>274</v>
      </c>
      <c r="B55" s="6" t="s">
        <v>108</v>
      </c>
      <c r="C55" s="7" t="s">
        <v>275</v>
      </c>
      <c r="D55" s="7" t="s">
        <v>276</v>
      </c>
      <c r="E55" s="8" t="n">
        <v>1</v>
      </c>
      <c r="F55" s="9" t="n">
        <v>3014</v>
      </c>
      <c r="G55" s="10" t="n">
        <f aca="false">E55*F55</f>
        <v>3014</v>
      </c>
      <c r="H55" s="6" t="s">
        <v>53</v>
      </c>
      <c r="I55" s="6" t="s">
        <v>72</v>
      </c>
      <c r="J55" s="6" t="s">
        <v>277</v>
      </c>
      <c r="K55" s="7" t="s">
        <v>278</v>
      </c>
    </row>
    <row r="56" customFormat="false" ht="41.25" hidden="false" customHeight="true" outlineLevel="0" collapsed="false">
      <c r="A56" s="6" t="s">
        <v>279</v>
      </c>
      <c r="B56" s="6" t="s">
        <v>165</v>
      </c>
      <c r="C56" s="7" t="s">
        <v>280</v>
      </c>
      <c r="D56" s="7" t="s">
        <v>281</v>
      </c>
      <c r="E56" s="8" t="n">
        <v>2</v>
      </c>
      <c r="F56" s="10" t="n">
        <v>206</v>
      </c>
      <c r="G56" s="10" t="n">
        <f aca="false">E56*F56</f>
        <v>412</v>
      </c>
      <c r="H56" s="11" t="s">
        <v>17</v>
      </c>
      <c r="I56" s="6" t="s">
        <v>35</v>
      </c>
      <c r="J56" s="6" t="s">
        <v>25</v>
      </c>
      <c r="K56" s="7" t="s">
        <v>282</v>
      </c>
    </row>
    <row r="57" customFormat="false" ht="27.75" hidden="false" customHeight="true" outlineLevel="0" collapsed="false">
      <c r="A57" s="6" t="s">
        <v>283</v>
      </c>
      <c r="B57" s="6" t="s">
        <v>57</v>
      </c>
      <c r="C57" s="7" t="s">
        <v>284</v>
      </c>
      <c r="D57" s="7" t="s">
        <v>285</v>
      </c>
      <c r="E57" s="8" t="n">
        <v>1</v>
      </c>
      <c r="F57" s="10" t="n">
        <v>0</v>
      </c>
      <c r="G57" s="10" t="n">
        <f aca="false">E57*F57</f>
        <v>0</v>
      </c>
      <c r="H57" s="6" t="s">
        <v>53</v>
      </c>
      <c r="I57" s="6" t="s">
        <v>66</v>
      </c>
      <c r="J57" s="6" t="s">
        <v>286</v>
      </c>
      <c r="K57" s="7" t="s">
        <v>287</v>
      </c>
    </row>
    <row r="58" customFormat="false" ht="27.75" hidden="false" customHeight="true" outlineLevel="0" collapsed="false">
      <c r="A58" s="6" t="s">
        <v>288</v>
      </c>
      <c r="B58" s="6" t="s">
        <v>57</v>
      </c>
      <c r="C58" s="7" t="s">
        <v>289</v>
      </c>
      <c r="D58" s="7" t="s">
        <v>290</v>
      </c>
      <c r="E58" s="8" t="n">
        <v>1</v>
      </c>
      <c r="F58" s="10" t="n">
        <v>342</v>
      </c>
      <c r="G58" s="10" t="n">
        <f aca="false">E58*F58</f>
        <v>342</v>
      </c>
      <c r="H58" s="6" t="s">
        <v>78</v>
      </c>
      <c r="I58" s="6" t="s">
        <v>60</v>
      </c>
      <c r="J58" s="6" t="s">
        <v>100</v>
      </c>
      <c r="K58" s="7" t="s">
        <v>291</v>
      </c>
    </row>
    <row r="59" customFormat="false" ht="14.25" hidden="false" customHeight="true" outlineLevel="0" collapsed="false">
      <c r="A59" s="6" t="s">
        <v>292</v>
      </c>
      <c r="B59" s="6" t="s">
        <v>57</v>
      </c>
      <c r="C59" s="7" t="s">
        <v>293</v>
      </c>
      <c r="D59" s="7" t="s">
        <v>294</v>
      </c>
      <c r="E59" s="8" t="n">
        <v>1</v>
      </c>
      <c r="F59" s="10" t="n">
        <v>0</v>
      </c>
      <c r="G59" s="10" t="n">
        <f aca="false">E59*F59</f>
        <v>0</v>
      </c>
      <c r="H59" s="6" t="s">
        <v>78</v>
      </c>
      <c r="I59" s="6" t="s">
        <v>295</v>
      </c>
      <c r="J59" s="6" t="s">
        <v>296</v>
      </c>
      <c r="K59" s="7" t="s">
        <v>297</v>
      </c>
    </row>
    <row r="60" customFormat="false" ht="13.5" hidden="false" customHeight="true" outlineLevel="0" collapsed="false">
      <c r="A60" s="6" t="s">
        <v>298</v>
      </c>
      <c r="B60" s="6" t="s">
        <v>103</v>
      </c>
      <c r="C60" s="7" t="s">
        <v>299</v>
      </c>
      <c r="D60" s="7" t="s">
        <v>300</v>
      </c>
      <c r="E60" s="8" t="n">
        <v>1</v>
      </c>
      <c r="F60" s="10" t="n">
        <v>548</v>
      </c>
      <c r="G60" s="10" t="n">
        <f aca="false">E60*F60</f>
        <v>548</v>
      </c>
      <c r="H60" s="6" t="s">
        <v>136</v>
      </c>
      <c r="I60" s="6" t="s">
        <v>30</v>
      </c>
      <c r="J60" s="6" t="s">
        <v>25</v>
      </c>
      <c r="K60" s="7" t="s">
        <v>301</v>
      </c>
    </row>
    <row r="61" customFormat="false" ht="41.25" hidden="false" customHeight="true" outlineLevel="0" collapsed="false">
      <c r="A61" s="12"/>
      <c r="B61" s="12"/>
      <c r="C61" s="13" t="s">
        <v>302</v>
      </c>
      <c r="D61" s="14"/>
      <c r="E61" s="15"/>
      <c r="F61" s="16"/>
      <c r="G61" s="17" t="n">
        <f aca="false">SUM(G5:G60)</f>
        <v>28234</v>
      </c>
      <c r="H61" s="12"/>
      <c r="I61" s="12"/>
      <c r="J61" s="12"/>
      <c r="K61" s="14"/>
    </row>
    <row r="62" customFormat="false" ht="41.25" hidden="false" customHeight="true" outlineLevel="0" collapsed="false">
      <c r="A62" s="18"/>
      <c r="B62" s="18"/>
      <c r="C62" s="19"/>
      <c r="D62" s="19"/>
      <c r="E62" s="20"/>
      <c r="F62" s="21"/>
      <c r="G62" s="21"/>
      <c r="H62" s="18"/>
      <c r="I62" s="18"/>
      <c r="J62" s="18"/>
      <c r="K62" s="19"/>
    </row>
    <row r="63" customFormat="false" ht="13.5" hidden="false" customHeight="true" outlineLevel="0" collapsed="false">
      <c r="A63" s="18"/>
      <c r="B63" s="18"/>
      <c r="C63" s="19"/>
      <c r="D63" s="19"/>
      <c r="E63" s="20"/>
      <c r="F63" s="21"/>
      <c r="G63" s="21"/>
      <c r="H63" s="18"/>
      <c r="I63" s="18"/>
      <c r="J63" s="18"/>
      <c r="K63" s="19"/>
    </row>
    <row r="64" customFormat="false" ht="13.5" hidden="false" customHeight="true" outlineLevel="0" collapsed="false">
      <c r="A64" s="18"/>
      <c r="B64" s="18"/>
      <c r="C64" s="19"/>
      <c r="D64" s="19"/>
      <c r="E64" s="20"/>
      <c r="F64" s="21"/>
      <c r="G64" s="21"/>
      <c r="H64" s="18"/>
      <c r="I64" s="18"/>
      <c r="J64" s="18"/>
      <c r="K64" s="19"/>
    </row>
    <row r="65" customFormat="false" ht="13.5" hidden="false" customHeight="true" outlineLevel="0" collapsed="false">
      <c r="A65" s="18"/>
      <c r="B65" s="18"/>
      <c r="C65" s="19"/>
      <c r="D65" s="19"/>
      <c r="E65" s="20"/>
      <c r="F65" s="21"/>
      <c r="G65" s="21"/>
      <c r="H65" s="18"/>
      <c r="I65" s="18"/>
      <c r="J65" s="18"/>
      <c r="K65" s="19"/>
    </row>
    <row r="66" customFormat="false" ht="13.5" hidden="false" customHeight="true" outlineLevel="0" collapsed="false">
      <c r="A66" s="18"/>
      <c r="B66" s="18"/>
      <c r="C66" s="19"/>
      <c r="D66" s="19"/>
      <c r="E66" s="20"/>
      <c r="F66" s="21"/>
      <c r="G66" s="21"/>
      <c r="H66" s="18"/>
      <c r="I66" s="18"/>
      <c r="J66" s="18"/>
      <c r="K66" s="19"/>
    </row>
    <row r="67" customFormat="false" ht="13.5" hidden="false" customHeight="true" outlineLevel="0" collapsed="false">
      <c r="A67" s="18"/>
      <c r="B67" s="18"/>
      <c r="C67" s="19"/>
      <c r="D67" s="19"/>
      <c r="E67" s="20"/>
      <c r="F67" s="21"/>
      <c r="G67" s="21"/>
      <c r="H67" s="18"/>
      <c r="I67" s="18"/>
      <c r="J67" s="18"/>
      <c r="K67" s="19"/>
    </row>
    <row r="68" customFormat="false" ht="27.75" hidden="false" customHeight="true" outlineLevel="0" collapsed="false">
      <c r="A68" s="18"/>
      <c r="B68" s="18"/>
      <c r="C68" s="19"/>
      <c r="D68" s="19"/>
      <c r="E68" s="20"/>
      <c r="F68" s="21"/>
      <c r="G68" s="21"/>
      <c r="H68" s="18"/>
      <c r="I68" s="18"/>
      <c r="J68" s="18"/>
      <c r="K68" s="19"/>
    </row>
    <row r="69" customFormat="false" ht="13.5" hidden="false" customHeight="true" outlineLevel="0" collapsed="false">
      <c r="A69" s="18"/>
      <c r="B69" s="18"/>
      <c r="C69" s="19"/>
      <c r="D69" s="19"/>
      <c r="E69" s="20"/>
      <c r="F69" s="21"/>
      <c r="G69" s="21"/>
      <c r="H69" s="18"/>
      <c r="I69" s="18"/>
      <c r="J69" s="18"/>
      <c r="K69" s="19"/>
    </row>
    <row r="70" customFormat="false" ht="13.5" hidden="false" customHeight="true" outlineLevel="0" collapsed="false">
      <c r="A70" s="18"/>
      <c r="B70" s="18"/>
      <c r="C70" s="19"/>
      <c r="D70" s="19"/>
      <c r="E70" s="20"/>
      <c r="F70" s="21"/>
      <c r="G70" s="21"/>
      <c r="H70" s="18"/>
      <c r="I70" s="18"/>
      <c r="J70" s="18"/>
      <c r="K70" s="19"/>
    </row>
    <row r="71" customFormat="false" ht="13.5" hidden="false" customHeight="true" outlineLevel="0" collapsed="false">
      <c r="A71" s="18"/>
      <c r="B71" s="18"/>
      <c r="C71" s="19"/>
      <c r="D71" s="19"/>
      <c r="E71" s="20"/>
      <c r="F71" s="21"/>
      <c r="G71" s="21"/>
      <c r="H71" s="18"/>
      <c r="I71" s="18"/>
      <c r="J71" s="18"/>
      <c r="K71" s="19"/>
    </row>
    <row r="72" customFormat="false" ht="27.75" hidden="false" customHeight="true" outlineLevel="0" collapsed="false">
      <c r="A72" s="18"/>
      <c r="B72" s="18"/>
      <c r="C72" s="19"/>
      <c r="D72" s="19"/>
      <c r="E72" s="20"/>
      <c r="F72" s="21"/>
      <c r="G72" s="21"/>
      <c r="H72" s="18"/>
      <c r="I72" s="18"/>
      <c r="J72" s="18"/>
      <c r="K72" s="19"/>
    </row>
    <row r="73" customFormat="false" ht="13.5" hidden="false" customHeight="true" outlineLevel="0" collapsed="false">
      <c r="A73" s="18"/>
      <c r="B73" s="18"/>
      <c r="C73" s="19"/>
      <c r="D73" s="19"/>
      <c r="E73" s="20"/>
      <c r="F73" s="21"/>
      <c r="G73" s="21"/>
      <c r="H73" s="18"/>
      <c r="I73" s="18"/>
      <c r="J73" s="18"/>
      <c r="K73" s="19"/>
    </row>
    <row r="74" customFormat="false" ht="41.25" hidden="false" customHeight="true" outlineLevel="0" collapsed="false">
      <c r="A74" s="18"/>
      <c r="B74" s="18"/>
      <c r="C74" s="19"/>
      <c r="D74" s="19"/>
      <c r="E74" s="20"/>
      <c r="F74" s="21"/>
      <c r="G74" s="21"/>
      <c r="H74" s="18"/>
      <c r="I74" s="18"/>
      <c r="J74" s="18"/>
      <c r="K74" s="19"/>
    </row>
    <row r="75" customFormat="false" ht="41.25" hidden="false" customHeight="true" outlineLevel="0" collapsed="false">
      <c r="A75" s="18"/>
      <c r="B75" s="18"/>
      <c r="C75" s="19"/>
      <c r="D75" s="19"/>
      <c r="E75" s="20"/>
      <c r="F75" s="21"/>
      <c r="G75" s="21"/>
      <c r="H75" s="18"/>
      <c r="I75" s="18"/>
      <c r="J75" s="18"/>
      <c r="K75" s="19"/>
    </row>
    <row r="76" customFormat="false" ht="27.75" hidden="false" customHeight="true" outlineLevel="0" collapsed="false">
      <c r="A76" s="18"/>
      <c r="B76" s="18"/>
      <c r="C76" s="19"/>
      <c r="D76" s="19"/>
      <c r="E76" s="20"/>
      <c r="F76" s="21"/>
      <c r="G76" s="21"/>
      <c r="H76" s="18"/>
      <c r="I76" s="18"/>
      <c r="J76" s="18"/>
      <c r="K76" s="19"/>
    </row>
    <row r="77" customFormat="false" ht="27.75" hidden="false" customHeight="true" outlineLevel="0" collapsed="false">
      <c r="A77" s="18"/>
      <c r="B77" s="18"/>
      <c r="C77" s="19"/>
      <c r="D77" s="19"/>
      <c r="E77" s="20"/>
      <c r="F77" s="21"/>
      <c r="G77" s="21"/>
      <c r="H77" s="18"/>
      <c r="I77" s="18"/>
      <c r="J77" s="18"/>
      <c r="K77" s="19"/>
    </row>
    <row r="78" customFormat="false" ht="13.5" hidden="false" customHeight="true" outlineLevel="0" collapsed="false">
      <c r="A78" s="18"/>
      <c r="B78" s="18"/>
      <c r="C78" s="19"/>
      <c r="D78" s="19"/>
      <c r="E78" s="20"/>
      <c r="F78" s="21"/>
      <c r="G78" s="21"/>
      <c r="H78" s="18"/>
      <c r="I78" s="18"/>
      <c r="J78" s="18"/>
      <c r="K78" s="19"/>
    </row>
    <row r="79" customFormat="false" ht="27.75" hidden="false" customHeight="true" outlineLevel="0" collapsed="false">
      <c r="A79" s="18"/>
      <c r="B79" s="18"/>
      <c r="C79" s="19"/>
      <c r="D79" s="19"/>
      <c r="E79" s="20"/>
      <c r="F79" s="21"/>
      <c r="G79" s="21"/>
      <c r="H79" s="18"/>
      <c r="I79" s="18"/>
      <c r="J79" s="18"/>
      <c r="K79" s="19"/>
    </row>
    <row r="80" customFormat="false" ht="27.75" hidden="false" customHeight="true" outlineLevel="0" collapsed="false">
      <c r="A80" s="18"/>
      <c r="B80" s="18"/>
      <c r="C80" s="19"/>
      <c r="D80" s="19"/>
      <c r="E80" s="20"/>
      <c r="F80" s="21"/>
      <c r="G80" s="21"/>
      <c r="H80" s="18"/>
      <c r="I80" s="18"/>
      <c r="J80" s="18"/>
      <c r="K80" s="19"/>
    </row>
    <row r="81" customFormat="false" ht="41.25" hidden="false" customHeight="true" outlineLevel="0" collapsed="false">
      <c r="A81" s="18"/>
      <c r="B81" s="18"/>
      <c r="C81" s="19"/>
      <c r="D81" s="19"/>
      <c r="E81" s="20"/>
      <c r="F81" s="21"/>
      <c r="G81" s="21"/>
      <c r="H81" s="18"/>
      <c r="I81" s="18"/>
      <c r="J81" s="18"/>
      <c r="K81" s="19"/>
    </row>
    <row r="82" customFormat="false" ht="27.75" hidden="false" customHeight="true" outlineLevel="0" collapsed="false">
      <c r="A82" s="18"/>
      <c r="B82" s="18"/>
      <c r="C82" s="19"/>
      <c r="D82" s="19"/>
      <c r="E82" s="20"/>
      <c r="F82" s="21"/>
      <c r="G82" s="21"/>
      <c r="H82" s="18"/>
      <c r="I82" s="18"/>
      <c r="J82" s="18"/>
      <c r="K82" s="19"/>
    </row>
    <row r="83" customFormat="false" ht="13.5" hidden="false" customHeight="true" outlineLevel="0" collapsed="false">
      <c r="A83" s="18"/>
      <c r="B83" s="18"/>
      <c r="C83" s="19"/>
      <c r="D83" s="19"/>
      <c r="E83" s="20"/>
      <c r="F83" s="21"/>
      <c r="G83" s="21"/>
      <c r="H83" s="18"/>
      <c r="I83" s="18"/>
      <c r="J83" s="18"/>
      <c r="K83" s="19"/>
    </row>
    <row r="84" customFormat="false" ht="13.5" hidden="false" customHeight="true" outlineLevel="0" collapsed="false">
      <c r="A84" s="18"/>
      <c r="B84" s="18"/>
      <c r="C84" s="19"/>
      <c r="D84" s="19"/>
      <c r="E84" s="20"/>
      <c r="F84" s="21"/>
      <c r="G84" s="21"/>
      <c r="H84" s="18"/>
      <c r="I84" s="18"/>
      <c r="J84" s="18"/>
      <c r="K84" s="19"/>
    </row>
    <row r="85" customFormat="false" ht="13.5" hidden="false" customHeight="true" outlineLevel="0" collapsed="false">
      <c r="A85" s="18"/>
      <c r="B85" s="18"/>
      <c r="C85" s="19"/>
      <c r="D85" s="19"/>
      <c r="E85" s="20"/>
      <c r="F85" s="21"/>
      <c r="G85" s="21"/>
      <c r="H85" s="18"/>
      <c r="I85" s="18"/>
      <c r="J85" s="18"/>
      <c r="K85" s="19"/>
    </row>
    <row r="86" customFormat="false" ht="15" hidden="false" customHeight="true" outlineLevel="0" collapsed="false">
      <c r="A86" s="22"/>
      <c r="B86" s="22"/>
      <c r="C86" s="22"/>
      <c r="D86" s="22"/>
      <c r="E86" s="22"/>
      <c r="F86" s="22"/>
      <c r="G86" s="23"/>
      <c r="H86" s="22"/>
      <c r="I86" s="22"/>
      <c r="J86" s="22"/>
      <c r="K86" s="22"/>
    </row>
  </sheetData>
  <autoFilter ref="A4:K60"/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1" activeCellId="0" sqref="C31"/>
    </sheetView>
  </sheetViews>
  <sheetFormatPr defaultColWidth="8.66796875" defaultRowHeight="12.7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36"/>
    <col collapsed="false" customWidth="true" hidden="false" outlineLevel="0" max="3" min="3" style="1" width="26"/>
    <col collapsed="false" customWidth="true" hidden="false" outlineLevel="0" max="4" min="4" style="1" width="14"/>
    <col collapsed="false" customWidth="true" hidden="false" outlineLevel="0" max="5" min="5" style="1" width="58"/>
    <col collapsed="false" customWidth="true" hidden="false" outlineLevel="0" max="6" min="6" style="1" width="60"/>
  </cols>
  <sheetData>
    <row r="1" customFormat="false" ht="18" hidden="false" customHeight="true" outlineLevel="0" collapsed="false">
      <c r="A1" s="24" t="s">
        <v>303</v>
      </c>
    </row>
    <row r="2" customFormat="false" ht="13.5" hidden="false" customHeight="true" outlineLevel="0" collapsed="false">
      <c r="A2" s="25" t="s">
        <v>304</v>
      </c>
    </row>
    <row r="3" customFormat="false" ht="13.5" hidden="false" customHeight="true" outlineLevel="0" collapsed="false"/>
    <row r="4" customFormat="false" ht="31.5" hidden="false" customHeight="true" outlineLevel="0" collapsed="false">
      <c r="A4" s="26" t="s">
        <v>305</v>
      </c>
      <c r="B4" s="26" t="s">
        <v>306</v>
      </c>
      <c r="C4" s="26" t="s">
        <v>307</v>
      </c>
      <c r="D4" s="26" t="s">
        <v>308</v>
      </c>
      <c r="E4" s="26" t="s">
        <v>309</v>
      </c>
      <c r="F4" s="26" t="s">
        <v>310</v>
      </c>
    </row>
    <row r="5" customFormat="false" ht="27.75" hidden="false" customHeight="true" outlineLevel="0" collapsed="false">
      <c r="A5" s="27" t="s">
        <v>311</v>
      </c>
      <c r="B5" s="28" t="s">
        <v>312</v>
      </c>
      <c r="C5" s="27" t="s">
        <v>313</v>
      </c>
      <c r="D5" s="29" t="s">
        <v>314</v>
      </c>
      <c r="E5" s="28" t="s">
        <v>315</v>
      </c>
      <c r="F5" s="28" t="s">
        <v>316</v>
      </c>
    </row>
    <row r="6" customFormat="false" ht="27.75" hidden="false" customHeight="true" outlineLevel="0" collapsed="false">
      <c r="A6" s="27" t="s">
        <v>317</v>
      </c>
      <c r="B6" s="28" t="s">
        <v>318</v>
      </c>
      <c r="C6" s="27" t="s">
        <v>313</v>
      </c>
      <c r="D6" s="29" t="s">
        <v>314</v>
      </c>
      <c r="E6" s="28" t="s">
        <v>319</v>
      </c>
      <c r="F6" s="28" t="s">
        <v>320</v>
      </c>
    </row>
    <row r="7" customFormat="false" ht="27.75" hidden="false" customHeight="true" outlineLevel="0" collapsed="false">
      <c r="A7" s="27" t="s">
        <v>321</v>
      </c>
      <c r="B7" s="28" t="s">
        <v>322</v>
      </c>
      <c r="C7" s="27" t="s">
        <v>323</v>
      </c>
      <c r="D7" s="29" t="s">
        <v>314</v>
      </c>
      <c r="E7" s="28" t="s">
        <v>324</v>
      </c>
      <c r="F7" s="28" t="s">
        <v>325</v>
      </c>
    </row>
    <row r="8" customFormat="false" ht="27.75" hidden="false" customHeight="true" outlineLevel="0" collapsed="false">
      <c r="A8" s="27" t="s">
        <v>326</v>
      </c>
      <c r="B8" s="28" t="s">
        <v>327</v>
      </c>
      <c r="C8" s="27" t="s">
        <v>328</v>
      </c>
      <c r="D8" s="29" t="s">
        <v>329</v>
      </c>
      <c r="E8" s="28" t="s">
        <v>330</v>
      </c>
      <c r="F8" s="28" t="s">
        <v>331</v>
      </c>
    </row>
    <row r="9" customFormat="false" ht="27.75" hidden="false" customHeight="true" outlineLevel="0" collapsed="false">
      <c r="A9" s="27" t="s">
        <v>332</v>
      </c>
      <c r="B9" s="28" t="s">
        <v>333</v>
      </c>
      <c r="C9" s="27" t="s">
        <v>334</v>
      </c>
      <c r="D9" s="29" t="s">
        <v>314</v>
      </c>
      <c r="E9" s="28" t="s">
        <v>335</v>
      </c>
      <c r="F9" s="28" t="s">
        <v>336</v>
      </c>
    </row>
    <row r="10" customFormat="false" ht="27.75" hidden="false" customHeight="true" outlineLevel="0" collapsed="false">
      <c r="A10" s="27" t="s">
        <v>337</v>
      </c>
      <c r="B10" s="28" t="s">
        <v>338</v>
      </c>
      <c r="C10" s="27" t="s">
        <v>339</v>
      </c>
      <c r="D10" s="27" t="s">
        <v>340</v>
      </c>
      <c r="E10" s="28" t="s">
        <v>341</v>
      </c>
      <c r="F10" s="28" t="s">
        <v>342</v>
      </c>
    </row>
    <row r="11" customFormat="false" ht="12.75" hidden="false" customHeight="true" outlineLevel="0" collapsed="false">
      <c r="A11" s="27" t="s">
        <v>343</v>
      </c>
      <c r="B11" s="28" t="s">
        <v>344</v>
      </c>
      <c r="C11" s="27" t="s">
        <v>339</v>
      </c>
      <c r="D11" s="27" t="s">
        <v>345</v>
      </c>
      <c r="E11" s="28" t="s">
        <v>346</v>
      </c>
      <c r="F11" s="28" t="s">
        <v>347</v>
      </c>
    </row>
    <row r="12" customFormat="false" ht="12.75" hidden="false" customHeight="true" outlineLevel="0" collapsed="false">
      <c r="A12" s="27" t="s">
        <v>348</v>
      </c>
      <c r="B12" s="28" t="s">
        <v>349</v>
      </c>
      <c r="C12" s="27" t="s">
        <v>350</v>
      </c>
      <c r="D12" s="27" t="s">
        <v>345</v>
      </c>
      <c r="E12" s="28" t="s">
        <v>351</v>
      </c>
      <c r="F12" s="28" t="s">
        <v>352</v>
      </c>
    </row>
    <row r="13" customFormat="false" ht="12.75" hidden="false" customHeight="true" outlineLevel="0" collapsed="false">
      <c r="A13" s="27" t="s">
        <v>353</v>
      </c>
      <c r="B13" s="28" t="s">
        <v>354</v>
      </c>
      <c r="C13" s="27" t="s">
        <v>355</v>
      </c>
      <c r="D13" s="27" t="s">
        <v>340</v>
      </c>
      <c r="E13" s="28" t="s">
        <v>356</v>
      </c>
      <c r="F13" s="28" t="s">
        <v>357</v>
      </c>
    </row>
    <row r="14" customFormat="false" ht="12.75" hidden="false" customHeight="true" outlineLevel="0" collapsed="false">
      <c r="A14" s="27" t="s">
        <v>358</v>
      </c>
      <c r="B14" s="28" t="s">
        <v>359</v>
      </c>
      <c r="C14" s="27" t="s">
        <v>360</v>
      </c>
      <c r="D14" s="27" t="s">
        <v>340</v>
      </c>
      <c r="E14" s="28" t="s">
        <v>361</v>
      </c>
      <c r="F14" s="28" t="s">
        <v>362</v>
      </c>
    </row>
    <row r="15" customFormat="false" ht="12.75" hidden="false" customHeight="true" outlineLevel="0" collapsed="false">
      <c r="A15" s="27" t="s">
        <v>363</v>
      </c>
      <c r="B15" s="28" t="s">
        <v>364</v>
      </c>
      <c r="C15" s="27" t="s">
        <v>355</v>
      </c>
      <c r="D15" s="27" t="s">
        <v>340</v>
      </c>
      <c r="E15" s="28" t="s">
        <v>365</v>
      </c>
      <c r="F15" s="28" t="s">
        <v>366</v>
      </c>
    </row>
    <row r="16" customFormat="false" ht="27.75" hidden="false" customHeight="true" outlineLevel="0" collapsed="false">
      <c r="A16" s="27" t="s">
        <v>367</v>
      </c>
      <c r="B16" s="28" t="s">
        <v>368</v>
      </c>
      <c r="C16" s="27" t="s">
        <v>369</v>
      </c>
      <c r="D16" s="27" t="s">
        <v>340</v>
      </c>
      <c r="E16" s="28" t="s">
        <v>370</v>
      </c>
      <c r="F16" s="28" t="s">
        <v>371</v>
      </c>
    </row>
    <row r="17" customFormat="false" ht="12.75" hidden="false" customHeight="true" outlineLevel="0" collapsed="false">
      <c r="A17" s="27" t="s">
        <v>372</v>
      </c>
      <c r="B17" s="28" t="s">
        <v>373</v>
      </c>
      <c r="C17" s="27" t="s">
        <v>369</v>
      </c>
      <c r="D17" s="27" t="s">
        <v>340</v>
      </c>
      <c r="E17" s="28" t="s">
        <v>374</v>
      </c>
      <c r="F17" s="28" t="s">
        <v>375</v>
      </c>
    </row>
    <row r="18" customFormat="false" ht="12.75" hidden="false" customHeight="true" outlineLevel="0" collapsed="false">
      <c r="A18" s="27" t="s">
        <v>376</v>
      </c>
      <c r="B18" s="28" t="s">
        <v>377</v>
      </c>
      <c r="C18" s="27" t="s">
        <v>328</v>
      </c>
      <c r="D18" s="27" t="s">
        <v>378</v>
      </c>
      <c r="E18" s="28" t="s">
        <v>379</v>
      </c>
      <c r="F18" s="28" t="s">
        <v>380</v>
      </c>
    </row>
    <row r="19" customFormat="false" ht="27.75" hidden="false" customHeight="true" outlineLevel="0" collapsed="false">
      <c r="A19" s="27" t="s">
        <v>381</v>
      </c>
      <c r="B19" s="28" t="s">
        <v>382</v>
      </c>
      <c r="C19" s="27" t="s">
        <v>383</v>
      </c>
      <c r="D19" s="27" t="s">
        <v>384</v>
      </c>
      <c r="E19" s="28" t="s">
        <v>385</v>
      </c>
      <c r="F19" s="28" t="s">
        <v>386</v>
      </c>
    </row>
    <row r="20" customFormat="false" ht="12.75" hidden="false" customHeight="true" outlineLevel="0" collapsed="false">
      <c r="A20" s="27" t="s">
        <v>387</v>
      </c>
      <c r="B20" s="28" t="s">
        <v>388</v>
      </c>
      <c r="C20" s="27" t="s">
        <v>334</v>
      </c>
      <c r="D20" s="27" t="s">
        <v>340</v>
      </c>
      <c r="E20" s="28" t="s">
        <v>389</v>
      </c>
      <c r="F20" s="28" t="s">
        <v>390</v>
      </c>
    </row>
    <row r="21" customFormat="false" ht="12.75" hidden="false" customHeight="true" outlineLevel="0" collapsed="false">
      <c r="A21" s="27" t="s">
        <v>391</v>
      </c>
      <c r="B21" s="28" t="s">
        <v>392</v>
      </c>
      <c r="C21" s="27" t="s">
        <v>393</v>
      </c>
      <c r="D21" s="29" t="s">
        <v>314</v>
      </c>
      <c r="E21" s="28" t="s">
        <v>394</v>
      </c>
      <c r="F21" s="28" t="s">
        <v>395</v>
      </c>
    </row>
    <row r="22" customFormat="false" ht="13.5" hidden="false" customHeight="true" outlineLevel="0" collapsed="false"/>
    <row r="23" customFormat="false" ht="13.5" hidden="false" customHeight="true" outlineLevel="0" collapsed="false">
      <c r="A23" s="2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2026-08-19T00:44:13Z</dcterms:created>
  <dc:creator>openpyxl</dc:creator>
  <dc:description/>
  <dc:language>en-US</dc:language>
  <cp:lastModifiedBy/>
  <dcterms:modified xsi:type="dcterms:W3CDTF">2026-08-27T15:08:00Z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