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0" yWindow="840" windowWidth="29840" windowHeight="18600" tabRatio="500" firstSheet="0" activeTab="1" autoFilterDateGrouping="1"/>
  </bookViews>
  <sheets>
    <sheet name="README" sheetId="1" state="visible" r:id="rId1"/>
    <sheet name="BOM Master" sheetId="2" state="visible" r:id="rId2"/>
    <sheet name="Master BOM" sheetId="3" state="visible" r:id="rId3"/>
    <sheet name="Budget Dashboard" sheetId="4" state="visible" r:id="rId4"/>
    <sheet name="DSO (Caleb)" sheetId="5" state="visible" r:id="rId5"/>
    <sheet name="Team-Wide (Everyone)" sheetId="6" state="visible" r:id="rId6"/>
    <sheet name="Perception (Amanuel-Irvine)" sheetId="7" state="visible" r:id="rId7"/>
    <sheet name="Mapping (Angel)" sheetId="8" state="visible" r:id="rId8"/>
    <sheet name="Planning (Ced)" sheetId="9" state="visible" r:id="rId9"/>
    <sheet name="Firmware (Mason)" sheetId="10" state="visible" r:id="rId10"/>
    <sheet name="Mech-EE (UNASSIGNED)" sheetId="11" state="visible" r:id="rId11"/>
    <sheet name="Testing (Evan)" sheetId="12" state="visible" r:id="rId12"/>
    <sheet name="Sim (Ethan)" sheetId="13" state="visible" r:id="rId13"/>
    <sheet name="Web (Geet)" sheetId="14" state="visible" r:id="rId14"/>
    <sheet name="Order First" sheetId="15" state="visible" r:id="rId15"/>
    <sheet name="Sponsorship Targets" sheetId="16" state="visible" r:id="rId16"/>
  </sheets>
  <definedNames>
    <definedName name="_xlnm._FilterDatabase" localSheetId="1" hidden="1">'BOM Master'!$A$4:$K$85</definedName>
    <definedName name="_xlnm._FilterDatabase" localSheetId="2" hidden="1">'Master BOM'!$A$3:$S$114</definedName>
    <definedName name="_xlnm._FilterDatabase" localSheetId="14" hidden="1">'Order First'!$A$4:$J$33</definedName>
  </definedNames>
  <calcPr calcId="191029" fullCalcOnLoad="1" iterateDelta="0.0001"/>
</workbook>
</file>

<file path=xl/styles.xml><?xml version="1.0" encoding="utf-8"?>
<styleSheet xmlns="http://schemas.openxmlformats.org/spreadsheetml/2006/main">
  <numFmts count="3">
    <numFmt numFmtId="164" formatCode="\$#,##0;&quot;($&quot;#,##0\);\-"/>
    <numFmt numFmtId="165" formatCode="0.0%"/>
    <numFmt numFmtId="166" formatCode="$#,##0"/>
  </numFmts>
  <fonts count="19">
    <font>
      <name val="Calibri"/>
      <charset val="1"/>
      <family val="2"/>
      <color theme="1"/>
      <sz val="11"/>
    </font>
    <font>
      <name val="Arial"/>
      <charset val="1"/>
      <b val="1"/>
      <color rgb="FF1F3864"/>
      <sz val="16"/>
    </font>
    <font>
      <name val="Arial"/>
      <charset val="1"/>
      <b val="1"/>
      <sz val="10"/>
    </font>
    <font>
      <name val="Arial"/>
      <charset val="1"/>
      <sz val="10"/>
    </font>
    <font>
      <name val="Arial"/>
      <charset val="1"/>
      <color rgb="FF0000FF"/>
      <sz val="10"/>
    </font>
    <font>
      <name val="Arial"/>
      <charset val="1"/>
      <color rgb="FF008000"/>
      <sz val="10"/>
    </font>
    <font>
      <name val="Arial"/>
      <charset val="1"/>
      <b val="1"/>
      <color rgb="FF1F3864"/>
      <sz val="11"/>
    </font>
    <font>
      <name val="Arial"/>
      <charset val="1"/>
      <b val="1"/>
      <color rgb="FF1F3864"/>
      <sz val="14"/>
    </font>
    <font>
      <name val="Arial"/>
      <charset val="1"/>
      <i val="1"/>
      <color rgb="FF595959"/>
      <sz val="9"/>
    </font>
    <font>
      <name val="Arial"/>
      <charset val="1"/>
      <b val="1"/>
      <color rgb="FFFFFFFF"/>
      <sz val="10"/>
    </font>
    <font>
      <name val="Arial"/>
      <charset val="1"/>
      <b val="1"/>
      <color rgb="FFC00000"/>
      <sz val="10"/>
    </font>
    <font>
      <name val="Arial"/>
      <charset val="1"/>
      <b val="1"/>
      <color rgb="FF006100"/>
      <sz val="10"/>
    </font>
    <font>
      <name val="Arial"/>
      <family val="2"/>
      <sz val="10"/>
    </font>
    <font>
      <b val="1"/>
      <color rgb="001F3864"/>
      <sz val="16"/>
    </font>
    <font>
      <i val="1"/>
      <color rgb="00595959"/>
      <sz val="10"/>
    </font>
    <font>
      <b val="1"/>
      <color rgb="00FFFFFF"/>
    </font>
    <font>
      <b val="1"/>
      <color rgb="00C00000"/>
    </font>
    <font>
      <b val="1"/>
      <sz val="12"/>
    </font>
    <font/>
  </fonts>
  <fills count="8">
    <fill>
      <patternFill/>
    </fill>
    <fill>
      <patternFill patternType="gray125"/>
    </fill>
    <fill>
      <patternFill patternType="solid">
        <fgColor rgb="FFFFFF00"/>
        <bgColor rgb="FFFFFF00"/>
      </patternFill>
    </fill>
    <fill>
      <patternFill patternType="solid">
        <fgColor rgb="FFFCE4D6"/>
        <bgColor rgb="FFFFF2CC"/>
      </patternFill>
    </fill>
    <fill>
      <patternFill patternType="solid">
        <fgColor rgb="FF1F3864"/>
        <bgColor rgb="FF333333"/>
      </patternFill>
    </fill>
    <fill>
      <patternFill patternType="solid">
        <fgColor rgb="FFFFF2CC"/>
        <bgColor rgb="FFFCE4D6"/>
      </patternFill>
    </fill>
    <fill>
      <patternFill patternType="solid">
        <fgColor rgb="001F3864"/>
      </patternFill>
    </fill>
    <fill>
      <patternFill patternType="solid">
        <fgColor rgb="00DDEBF7"/>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2" borderId="0" pivotButton="0" quotePrefix="0" xfId="0"/>
    <xf numFmtId="0" fontId="2" fillId="3"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4"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horizontal="center" vertical="top"/>
    </xf>
    <xf numFmtId="164" fontId="4" fillId="0" borderId="1" applyAlignment="1" pivotButton="0" quotePrefix="0" xfId="0">
      <alignment vertical="top"/>
    </xf>
    <xf numFmtId="164" fontId="3" fillId="0" borderId="1" applyAlignment="1" pivotButton="0" quotePrefix="0" xfId="0">
      <alignment vertical="top"/>
    </xf>
    <xf numFmtId="0" fontId="10" fillId="0" borderId="1" applyAlignment="1" pivotButton="0" quotePrefix="0" xfId="0">
      <alignment vertical="top"/>
    </xf>
    <xf numFmtId="0" fontId="3" fillId="3" borderId="1" applyAlignment="1" pivotButton="0" quotePrefix="0" xfId="0">
      <alignment vertical="top"/>
    </xf>
    <xf numFmtId="0" fontId="2" fillId="5" borderId="0" pivotButton="0" quotePrefix="0" xfId="0"/>
    <xf numFmtId="164" fontId="2" fillId="5" borderId="1" pivotButton="0" quotePrefix="0" xfId="0"/>
    <xf numFmtId="0" fontId="3" fillId="0" borderId="0" pivotButton="0" quotePrefix="0" xfId="0"/>
    <xf numFmtId="2" fontId="4" fillId="2" borderId="0" pivotButton="0" quotePrefix="0" xfId="0"/>
    <xf numFmtId="165" fontId="4" fillId="2" borderId="0" pivotButton="0" quotePrefix="0" xfId="0"/>
    <xf numFmtId="0" fontId="3" fillId="0" borderId="1" pivotButton="0" quotePrefix="0" xfId="0"/>
    <xf numFmtId="164" fontId="3" fillId="0" borderId="1" pivotButton="0" quotePrefix="0" xfId="0"/>
    <xf numFmtId="0" fontId="3" fillId="0" borderId="1" applyAlignment="1" pivotButton="0" quotePrefix="0" xfId="0">
      <alignment horizontal="center"/>
    </xf>
    <xf numFmtId="0" fontId="3" fillId="3" borderId="1" pivotButton="0" quotePrefix="0" xfId="0"/>
    <xf numFmtId="0" fontId="2" fillId="0" borderId="0" applyAlignment="1" pivotButton="0" quotePrefix="0" xfId="0">
      <alignment horizontal="center"/>
    </xf>
    <xf numFmtId="164" fontId="8" fillId="0" borderId="0" pivotButton="0" quotePrefix="0" xfId="0"/>
    <xf numFmtId="0" fontId="2" fillId="0" borderId="1" pivotButton="0" quotePrefix="0" xfId="0"/>
    <xf numFmtId="164" fontId="5" fillId="0" borderId="1" applyAlignment="1" pivotButton="0" quotePrefix="0" xfId="0">
      <alignment vertical="top"/>
    </xf>
    <xf numFmtId="0" fontId="10" fillId="3" borderId="0" applyAlignment="1" pivotButton="0" quotePrefix="0" xfId="0">
      <alignment vertical="top" wrapText="1"/>
    </xf>
    <xf numFmtId="0" fontId="2" fillId="0" borderId="1" applyAlignment="1" pivotButton="0" quotePrefix="0" xfId="0">
      <alignment horizontal="center"/>
    </xf>
    <xf numFmtId="0" fontId="11" fillId="0" borderId="1" applyAlignment="1" pivotButton="0" quotePrefix="0" xfId="0">
      <alignment vertical="top"/>
    </xf>
    <xf numFmtId="0" fontId="12" fillId="0" borderId="1" applyAlignment="1" pivotButton="0" quotePrefix="0" xfId="0">
      <alignment vertical="top" wrapText="1"/>
    </xf>
    <xf numFmtId="164" fontId="12" fillId="0" borderId="1" applyAlignment="1" pivotButton="0" quotePrefix="0" xfId="0">
      <alignment vertical="top"/>
    </xf>
    <xf numFmtId="0" fontId="13" fillId="0" borderId="0" pivotButton="0" quotePrefix="0" xfId="0"/>
    <xf numFmtId="0" fontId="14" fillId="0" borderId="0" pivotButton="0" quotePrefix="0" xfId="0"/>
    <xf numFmtId="0" fontId="15" fillId="6" borderId="2" applyAlignment="1" pivotButton="0" quotePrefix="0" xfId="0">
      <alignment horizontal="center"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horizontal="center" vertical="top"/>
    </xf>
    <xf numFmtId="166" fontId="0" fillId="0" borderId="2" applyAlignment="1" pivotButton="0" quotePrefix="0" xfId="0">
      <alignment vertical="top"/>
    </xf>
    <xf numFmtId="0" fontId="16" fillId="0" borderId="2" applyAlignment="1" pivotButton="0" quotePrefix="0" xfId="0">
      <alignment vertical="top"/>
    </xf>
    <xf numFmtId="0" fontId="0" fillId="7" borderId="2" pivotButton="0" quotePrefix="0" xfId="0"/>
    <xf numFmtId="0" fontId="17" fillId="7" borderId="2" pivotButton="0" quotePrefix="0" xfId="0"/>
    <xf numFmtId="166" fontId="17" fillId="7" borderId="2" pivotButton="0" quotePrefix="0" xfId="0"/>
    <xf numFmtId="0" fontId="0" fillId="0" borderId="2" applyAlignment="1" pivotButton="0" quotePrefix="0" xfId="0">
      <alignment vertical="top"/>
    </xf>
    <xf numFmtId="166" fontId="0" fillId="0" borderId="2" applyAlignment="1" pivotButton="0" quotePrefix="0" xfId="0">
      <alignment vertical="top"/>
    </xf>
    <xf numFmtId="0" fontId="16" fillId="0" borderId="2" applyAlignment="1" pivotButton="0" quotePrefix="0" xfId="0">
      <alignment vertical="top"/>
    </xf>
    <xf numFmtId="0" fontId="18" fillId="0" borderId="2" applyAlignment="1" pivotButton="0" quotePrefix="0" xfId="0">
      <alignment vertical="top"/>
    </xf>
    <xf numFmtId="0" fontId="18" fillId="0" borderId="2" applyAlignment="1" pivotButton="0" quotePrefix="0" xfId="0">
      <alignment vertical="top" wrapText="1"/>
    </xf>
    <xf numFmtId="0" fontId="18" fillId="0" borderId="2" applyAlignment="1" pivotButton="0" quotePrefix="0" xfId="0">
      <alignment horizontal="center" vertical="top"/>
    </xf>
    <xf numFmtId="166" fontId="18" fillId="0" borderId="2" applyAlignment="1" pivotButton="0" quotePrefix="0" xfId="0">
      <alignment vertical="top"/>
    </xf>
    <xf numFmtId="0" fontId="16" fillId="0" borderId="2" applyAlignment="1" pivotButton="0" quotePrefix="0" xfId="0">
      <alignment vertical="top"/>
    </xf>
    <xf numFmtId="0" fontId="18" fillId="7"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topLeftCell="A8" zoomScaleNormal="100" workbookViewId="0">
      <selection activeCell="A1" sqref="A1"/>
    </sheetView>
  </sheetViews>
  <sheetFormatPr baseColWidth="10" defaultColWidth="8.6640625" defaultRowHeight="15"/>
  <cols>
    <col width="34" customWidth="1" min="1" max="1"/>
    <col width="118" customWidth="1" min="2" max="2"/>
  </cols>
  <sheetData>
    <row r="1" ht="20" customHeight="1">
      <c r="A1" s="1" t="inlineStr">
        <is>
          <t>FSAE DRIVERLESS — PURCHASING PLAN BY ROLE</t>
        </is>
      </c>
    </row>
    <row r="3">
      <c r="A3" s="2" t="n"/>
      <c r="B3" s="3" t="n"/>
    </row>
    <row r="4" ht="28" customHeight="1">
      <c r="A4" s="2" t="inlineStr">
        <is>
          <t>What this is</t>
        </is>
      </c>
      <c r="B4" s="3" t="inlineStr">
        <is>
          <t>Every item that needs to be bought to stand up the driverless program, assigned to the role on your org chart that owns it. Built from the research report (rules, sensors, compute, software, simulation, mechanical retrofit, testing, KPIs, budget tiers).</t>
        </is>
      </c>
    </row>
    <row r="5" ht="28" customHeight="1">
      <c r="A5" s="2" t="inlineStr">
        <is>
          <t>How to use it</t>
        </is>
      </c>
      <c r="B5" s="3" t="inlineStr">
        <is>
          <t>1) Open 'Master BOM' — it is the single source of truth. 2) Overwrite the blue 'Unit Cost' cells with real quotes as they come in. 3) Every role sheet and the dashboard update automatically. 4) Work the 'Order First' sheet before anything else.</t>
        </is>
      </c>
    </row>
    <row r="6" ht="42" customHeight="1">
      <c r="A6" s="2" t="inlineStr">
        <is>
          <t>Tier logic</t>
        </is>
      </c>
      <c r="B6" s="3" t="inlineStr">
        <is>
          <t>T1 / T2 / T3 flags mark which items you buy at each funding level. They are ALTERNATIVE configurations, not cumulative — e.g. the LiDAR line appears three times (Livox Mid-360 / Ouster OS1-32 / OS1-128) with only one flagged per tier. Set a flag to 1 or 0 to re-scope a tier and every total follows.</t>
        </is>
      </c>
    </row>
    <row r="7" ht="28" customHeight="1">
      <c r="A7" s="2" t="inlineStr">
        <is>
          <t>Currency</t>
        </is>
      </c>
      <c r="B7" s="3" t="inlineStr">
        <is>
          <t>All figures are USD. The dashboard converts to CAD using an editable FX rate plus a duty/brokerage uplift — budget roughly 15-25% on top of USD list for a Canadian team.</t>
        </is>
      </c>
    </row>
    <row r="8" ht="56" customHeight="1">
      <c r="A8" s="2" t="inlineStr">
        <is>
          <t>Why totals exceed the report</t>
        </is>
      </c>
      <c r="B8" s="3" t="inlineStr">
        <is>
          <t>The research report's headline tiers (~$12k / $41k / $91k) covered hardware and software only. This workbook adds the things that actually appear on a purchase order and get forgotten: competition entry, test-site agreements and insurance, indoor winter space, the electronics bench, connectors and crimp tooling, PCB spins, spares and test-day kit. Expect roughly $27k / $68k / $120k as a result. That gap IS the finding — the sensors were never the expensive part.</t>
        </is>
      </c>
    </row>
    <row r="9">
      <c r="A9" s="2" t="n"/>
      <c r="B9" s="3" t="n"/>
    </row>
    <row r="10">
      <c r="A10" s="4" t="inlineStr">
        <is>
          <t>LEGEND</t>
        </is>
      </c>
      <c r="B10" s="3" t="n"/>
    </row>
    <row r="11">
      <c r="A11" s="2" t="inlineStr">
        <is>
          <t>Blue text</t>
        </is>
      </c>
      <c r="B11" s="3" t="inlineStr">
        <is>
          <t>Hardcoded input you are expected to overwrite (unit costs, FX rate, uplift %).</t>
        </is>
      </c>
    </row>
    <row r="12">
      <c r="A12" s="5" t="inlineStr">
        <is>
          <t>Black text</t>
        </is>
      </c>
      <c r="B12" s="3" t="inlineStr">
        <is>
          <t>Formula-driven — do not overwrite.</t>
        </is>
      </c>
    </row>
    <row r="13">
      <c r="A13" s="6" t="inlineStr">
        <is>
          <t>Green text</t>
        </is>
      </c>
      <c r="B13" s="3" t="inlineStr">
        <is>
          <t>Pulled from another sheet.</t>
        </is>
      </c>
    </row>
    <row r="14">
      <c r="A14" s="7" t="inlineStr">
        <is>
          <t>Yellow fill</t>
        </is>
      </c>
      <c r="B14" s="3" t="inlineStr">
        <is>
          <t>Key assumption to review.</t>
        </is>
      </c>
    </row>
    <row r="15">
      <c r="A15" s="2" t="inlineStr">
        <is>
          <t>Orange fill</t>
        </is>
      </c>
      <c r="B15" s="3" t="inlineStr">
        <is>
          <t>Ownership gap — see below.</t>
        </is>
      </c>
    </row>
    <row r="16">
      <c r="A16" s="2" t="inlineStr">
        <is>
          <t>Red 'Critical'</t>
        </is>
      </c>
      <c r="B16" s="3" t="inlineStr">
        <is>
          <t>Rules-blocking or schedule-blocking. You cannot pass technical inspection without it.</t>
        </is>
      </c>
    </row>
    <row r="17">
      <c r="A17" s="2" t="n"/>
      <c r="B17" s="3" t="n"/>
    </row>
    <row r="18">
      <c r="A18" s="8" t="inlineStr">
        <is>
          <t>GAPS AND FLAGS FROM YOUR ORG CHART</t>
        </is>
      </c>
      <c r="B18" s="3" t="n"/>
    </row>
    <row r="19" ht="70" customHeight="1">
      <c r="A19" s="2" t="inlineStr">
        <is>
          <t>1. No mechanical/actuation owner</t>
        </is>
      </c>
      <c r="B19" s="3" t="inlineStr">
        <is>
          <t>The steering actuator and the Emergency Brake System are the two hardest, most rules-critical purchases on this list (roughly $2,100 shoestring to $10,000 well-funded), and no box on your chart owns them. Firmware's note says 'more mechanical and electrical interfacing work' and DSO owns 'integration between subsystems (including mech and sparkies)' — but neither is an owner. These items are parked under 'Mech/EE Interface — UNASSIGNED' until you name someone. This is the single biggest org risk on the chart, because these are also the items most likely to fail scrutineering.</t>
        </is>
      </c>
    </row>
    <row r="20" ht="28" customHeight="1">
      <c r="A20" s="2" t="inlineStr">
        <is>
          <t>2. Testing owns the RC platform</t>
        </is>
      </c>
      <c r="B20" s="3" t="inlineStr">
        <is>
          <t>The F1TENTH build sits under Evan because Testing owns development methodology, but Perception, Mapping and Planning all depend on it daily. Treat it as shared infrastructure with Evan as custodian.</t>
        </is>
      </c>
    </row>
    <row r="21" ht="28" customHeight="1">
      <c r="A21" s="2" t="inlineStr">
        <is>
          <t>3. Sim owns storage, Firmware owns onboard logging</t>
        </is>
      </c>
      <c r="B21" s="3" t="inlineStr">
        <is>
          <t>Ethan's 'storage architecture' responsibility covers the NAS and offload workflow; the on-car NVMe sits with Mason because it is part of compute bring-up. Make sure they agree on the handoff at the end of each test day.</t>
        </is>
      </c>
    </row>
    <row r="22" ht="28" customHeight="1">
      <c r="A22" s="2" t="inlineStr">
        <is>
          <t>4. Two workstations, two owners</t>
        </is>
      </c>
      <c r="B22" s="3" t="inlineStr">
        <is>
          <t>Perception owns the ML training box; Sim owns the simulation/visualisation box. At Tier 1 both are $0 because you reuse lab machines. Do not double-buy.</t>
        </is>
      </c>
    </row>
    <row r="23" ht="28" customHeight="1">
      <c r="A23" s="2" t="inlineStr">
        <is>
          <t>5. Planning has almost no hardware</t>
        </is>
      </c>
      <c r="B23" s="3" t="inlineStr">
        <is>
          <t>That is correct and expected — Ced's spend is TTC tire data and solver licences. His dependency is on other people's actuator interfaces landing on time, not on procurement.</t>
        </is>
      </c>
    </row>
    <row r="24">
      <c r="A24" s="2" t="n"/>
      <c r="B24" s="3" t="n"/>
    </row>
    <row r="25">
      <c r="A25" s="8" t="inlineStr">
        <is>
          <t>SHEET GUIDE</t>
        </is>
      </c>
      <c r="B25" s="3" t="n"/>
    </row>
    <row r="26">
      <c r="A26" s="2" t="inlineStr">
        <is>
          <t>Master BOM</t>
        </is>
      </c>
      <c r="B26" s="3" t="inlineStr">
        <is>
          <t>Every line item. Filterable by role, category, tier, priority.</t>
        </is>
      </c>
    </row>
    <row r="27">
      <c r="A27" s="2" t="inlineStr">
        <is>
          <t>Budget Dashboard</t>
        </is>
      </c>
      <c r="B27" s="3" t="inlineStr">
        <is>
          <t>Totals by role and by category for each tier, plus CAD conversion.</t>
        </is>
      </c>
    </row>
    <row r="28">
      <c r="A28" s="2" t="inlineStr">
        <is>
          <t>Role sheets</t>
        </is>
      </c>
      <c r="B28" s="3" t="inlineStr">
        <is>
          <t>One per box on the org chart — hand each person their own tab.</t>
        </is>
      </c>
    </row>
    <row r="29">
      <c r="A29" s="2" t="inlineStr">
        <is>
          <t>Order First</t>
        </is>
      </c>
      <c r="B29" s="3" t="inlineStr">
        <is>
          <t>Critical-path items sorted by lead time. Start here.</t>
        </is>
      </c>
    </row>
    <row r="30">
      <c r="A30" s="2" t="inlineStr">
        <is>
          <t>Sponsorship Targets</t>
        </is>
      </c>
      <c r="B30" s="3" t="inlineStr">
        <is>
          <t>What to ask for, from whom, and who owns the ask.</t>
        </is>
      </c>
    </row>
    <row r="31">
      <c r="A31" s="2" t="n"/>
      <c r="B31" s="3" t="n"/>
    </row>
    <row r="32" ht="42" customHeight="1">
      <c r="A32" s="8" t="inlineStr">
        <is>
          <t>SOURCE</t>
        </is>
      </c>
      <c r="B32" s="3" t="inlineStr">
        <is>
          <t>Derived from the research report 'Formula Student Driverless from Scratch: Equipment, Software, and Infrastructure Playbook for a Winnipeg EV-to-DV Retrofit'. Rules references are to the FSAE Driverless Supplement 2026 and the FSG Formula Student Rules 2026 / Driverless Specification 2026 — reverify every figure against the rulebook for the year you actually enter.</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86"/>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6" customWidth="1" min="3" max="3"/>
    <col width="42" customWidth="1" min="4" max="4"/>
    <col width="6" customWidth="1" min="5" max="5"/>
    <col width="13" customWidth="1" min="6" max="6"/>
    <col width="13" customWidth="1" min="7" max="7"/>
    <col width="10" customWidth="1" min="8" max="8"/>
    <col width="16" customWidth="1" min="9" max="9"/>
    <col width="24" customWidth="1" min="10" max="10"/>
    <col width="60" customWidth="1" min="11" max="11"/>
  </cols>
  <sheetData>
    <row r="1">
      <c r="A1" s="37" t="inlineStr">
        <is>
          <t>FSAE DRIVERLESS - MASTER BOM</t>
        </is>
      </c>
    </row>
    <row r="2">
      <c r="A2" s="38" t="inlineStr">
        <is>
          <t>Complete bill of materials and resources to stand up the driverless program. All figures USD engineered estimates - verify with live quotes.</t>
        </is>
      </c>
    </row>
    <row r="4">
      <c r="A4" s="39" t="inlineStr">
        <is>
          <t>ID</t>
        </is>
      </c>
      <c r="B4" s="39" t="inlineStr">
        <is>
          <t>Category</t>
        </is>
      </c>
      <c r="C4" s="39" t="inlineStr">
        <is>
          <t>Item / Purpose</t>
        </is>
      </c>
      <c r="D4" s="39" t="inlineStr">
        <is>
          <t>Recommended Model / Spec</t>
        </is>
      </c>
      <c r="E4" s="39" t="inlineStr">
        <is>
          <t>Qty</t>
        </is>
      </c>
      <c r="F4" s="39" t="inlineStr">
        <is>
          <t>Unit Cost (USD)</t>
        </is>
      </c>
      <c r="G4" s="39" t="inlineStr">
        <is>
          <t>Ext. Cost (USD)</t>
        </is>
      </c>
      <c r="H4" s="39" t="inlineStr">
        <is>
          <t>Priority</t>
        </is>
      </c>
      <c r="I4" s="39" t="inlineStr">
        <is>
          <t>Lead Time</t>
        </is>
      </c>
      <c r="J4" s="39" t="inlineStr">
        <is>
          <t>Sponsorable?</t>
        </is>
      </c>
      <c r="K4" s="39" t="inlineStr">
        <is>
          <t>Notes / Rationale</t>
        </is>
      </c>
    </row>
    <row r="5">
      <c r="A5" s="51" t="inlineStr">
        <is>
          <t>DV-001</t>
        </is>
      </c>
      <c r="B5" s="51" t="inlineStr">
        <is>
          <t>Safety / Rules Hardware</t>
        </is>
      </c>
      <c r="C5" s="52" t="inlineStr">
        <is>
          <t>Remote Emergency System (RES) - European events</t>
        </is>
      </c>
      <c r="D5" s="52" t="inlineStr">
        <is>
          <t>Gross-Funk GF2000i-codec + T53R98, 2022 hw rev with E-Key</t>
        </is>
      </c>
      <c r="E5" s="53" t="n">
        <v>1</v>
      </c>
      <c r="F5" s="54" t="n">
        <v>2000</v>
      </c>
      <c r="G5" s="54">
        <f>E5*F5</f>
        <v/>
      </c>
      <c r="H5" s="55" t="inlineStr">
        <is>
          <t>Critical</t>
        </is>
      </c>
      <c r="I5" s="51" t="inlineStr">
        <is>
          <t>6-10 weeks</t>
        </is>
      </c>
      <c r="J5" s="51" t="inlineStr">
        <is>
          <t>Possible (Ferchau sponsored Racetech's)</t>
        </is>
      </c>
      <c r="K5" s="52" t="inlineStr">
        <is>
          <t>ORDER FIRST - longest lead item. Contact christian.keller@grossfunk.de / fsg.one/res. SIL3, CANopen Node-ID 0x011, 430-440 MHz.</t>
        </is>
      </c>
    </row>
    <row r="6">
      <c r="A6" s="51" t="inlineStr">
        <is>
          <t>DV-002</t>
        </is>
      </c>
      <c r="B6" s="51" t="inlineStr">
        <is>
          <t>Safety / Rules Hardware</t>
        </is>
      </c>
      <c r="C6" s="52" t="inlineStr">
        <is>
          <t>Remote Stop System - FSAE North America</t>
        </is>
      </c>
      <c r="D6" s="52" t="inlineStr">
        <is>
          <t>FSAE Remote Stop: Vehicle Module + Control Box + Remote Stop Relay</t>
        </is>
      </c>
      <c r="E6" s="53" t="n">
        <v>1</v>
      </c>
      <c r="F6" s="54" t="n">
        <v>500</v>
      </c>
      <c r="G6" s="54">
        <f>E6*F6</f>
        <v/>
      </c>
      <c r="H6" s="55" t="inlineStr">
        <is>
          <t>Critical</t>
        </is>
      </c>
      <c r="I6" s="51" t="inlineStr">
        <is>
          <t>4-8 weeks</t>
        </is>
      </c>
      <c r="J6" s="51" t="inlineStr">
        <is>
          <t>No</t>
        </is>
      </c>
      <c r="K6" s="52" t="inlineStr">
        <is>
          <t>NA uses its own standard, NOT the Gross-Funk unit. Design the shutdown circuit so either RES drops in.</t>
        </is>
      </c>
    </row>
    <row r="7">
      <c r="A7" s="51" t="inlineStr">
        <is>
          <t>DV-003</t>
        </is>
      </c>
      <c r="B7" s="51" t="inlineStr">
        <is>
          <t>Safety / Rules Hardware</t>
        </is>
      </c>
      <c r="C7" s="52" t="inlineStr">
        <is>
          <t>ASSI / DSSI status indicator lights</t>
        </is>
      </c>
      <c r="D7" s="52" t="inlineStr">
        <is>
          <t>3x amber+blue LED panels, black background, &gt;=15 cm2 shining area, LEDs &lt;=20mm apart</t>
        </is>
      </c>
      <c r="E7" s="53" t="n">
        <v>3</v>
      </c>
      <c r="F7" s="54" t="n">
        <v>85</v>
      </c>
      <c r="G7" s="54">
        <f>E7*F7</f>
        <v/>
      </c>
      <c r="H7" s="55" t="inlineStr">
        <is>
          <t>Critical</t>
        </is>
      </c>
      <c r="I7" s="51" t="inlineStr">
        <is>
          <t>2-3 weeks</t>
        </is>
      </c>
      <c r="J7" s="51" t="inlineStr">
        <is>
          <t>No</t>
        </is>
      </c>
      <c r="K7" s="52" t="inlineStr">
        <is>
          <t>States: Off=off, Ready=yellow steady, Driving=yellow flashing, Finished=blue steady, Emergency=blue flashing. Both sides behind cockpit + rear centreline.</t>
        </is>
      </c>
    </row>
    <row r="8">
      <c r="A8" s="51" t="inlineStr">
        <is>
          <t>DV-004</t>
        </is>
      </c>
      <c r="B8" s="51" t="inlineStr">
        <is>
          <t>Safety / Rules Hardware</t>
        </is>
      </c>
      <c r="C8" s="52" t="inlineStr">
        <is>
          <t>Driverless alert sound device</t>
        </is>
      </c>
      <c r="D8" s="52" t="inlineStr">
        <is>
          <t>Automotive buzzer, 80-90 dBA, 1-5 Hz at 50% duty, 8-10 s</t>
        </is>
      </c>
      <c r="E8" s="53" t="n">
        <v>1</v>
      </c>
      <c r="F8" s="54" t="n">
        <v>60</v>
      </c>
      <c r="G8" s="54">
        <f>E8*F8</f>
        <v/>
      </c>
      <c r="H8" s="55" t="inlineStr">
        <is>
          <t>Critical</t>
        </is>
      </c>
      <c r="I8" s="51" t="inlineStr">
        <is>
          <t>1-2 weeks</t>
        </is>
      </c>
      <c r="J8" s="51" t="inlineStr">
        <is>
          <t>No</t>
        </is>
      </c>
      <c r="K8" s="52" t="inlineStr">
        <is>
          <t>Sounds on Emergency state. Verify dBA at the rules-specified measurement distance.</t>
        </is>
      </c>
    </row>
    <row r="9">
      <c r="A9" s="51" t="inlineStr">
        <is>
          <t>DV-005</t>
        </is>
      </c>
      <c r="B9" s="51" t="inlineStr">
        <is>
          <t>Safety / Rules Hardware</t>
        </is>
      </c>
      <c r="C9" s="52" t="inlineStr">
        <is>
          <t>Autonomous Mission Indicator (AMI) display</t>
        </is>
      </c>
      <c r="D9" s="52" t="inlineStr">
        <is>
          <t>Small dash display / LED set showing selected mission</t>
        </is>
      </c>
      <c r="E9" s="53" t="n">
        <v>1</v>
      </c>
      <c r="F9" s="54" t="n">
        <v>80</v>
      </c>
      <c r="G9" s="54">
        <f>E9*F9</f>
        <v/>
      </c>
      <c r="H9" s="55" t="inlineStr">
        <is>
          <t>Critical</t>
        </is>
      </c>
      <c r="I9" s="51" t="inlineStr">
        <is>
          <t>1-2 weeks</t>
        </is>
      </c>
      <c r="J9" s="51" t="inlineStr">
        <is>
          <t>No</t>
        </is>
      </c>
      <c r="K9" s="52" t="inlineStr">
        <is>
          <t>Missions: acceleration, skidpad, trackdrive, braketest, inspection, autocross. Mount near dash/ASMS.</t>
        </is>
      </c>
    </row>
    <row r="10">
      <c r="A10" s="51" t="inlineStr">
        <is>
          <t>DV-006</t>
        </is>
      </c>
      <c r="B10" s="51" t="inlineStr">
        <is>
          <t>Safety / Rules Hardware</t>
        </is>
      </c>
      <c r="C10" s="52" t="inlineStr">
        <is>
          <t>ASMS / DSMS master switch</t>
        </is>
      </c>
      <c r="D10" s="52" t="inlineStr">
        <is>
          <t>Direct-acting rotary switch, blue circular area &gt;=50mm, labelled 'DS', lockout/tagout capable</t>
        </is>
      </c>
      <c r="E10" s="53" t="n">
        <v>1</v>
      </c>
      <c r="F10" s="54" t="n">
        <v>120</v>
      </c>
      <c r="G10" s="54">
        <f>E10*F10</f>
        <v/>
      </c>
      <c r="H10" s="55" t="inlineStr">
        <is>
          <t>Critical</t>
        </is>
      </c>
      <c r="I10" s="51" t="inlineStr">
        <is>
          <t>2 weeks</t>
        </is>
      </c>
      <c r="J10" s="51" t="inlineStr">
        <is>
          <t>No</t>
        </is>
      </c>
      <c r="K10" s="52" t="inlineStr">
        <is>
          <t>Must be direct-acting (not via relay/logic). When OFF the car must remain normally drivable and pushable.</t>
        </is>
      </c>
    </row>
    <row r="11">
      <c r="A11" s="51" t="inlineStr">
        <is>
          <t>DV-007</t>
        </is>
      </c>
      <c r="B11" s="51" t="inlineStr">
        <is>
          <t>Safety / Rules Hardware</t>
        </is>
      </c>
      <c r="C11" s="52" t="inlineStr">
        <is>
          <t>DV shutdown-circuit relay set</t>
        </is>
      </c>
      <c r="D11" s="52" t="inlineStr">
        <is>
          <t>Driverless System Relay (NO permissive) + Remote Stop Relay + NC bypass relay + EBS Relay (fail-open)</t>
        </is>
      </c>
      <c r="E11" s="53" t="n">
        <v>1</v>
      </c>
      <c r="F11" s="54" t="n">
        <v>300</v>
      </c>
      <c r="G11" s="54">
        <f>E11*F11</f>
        <v/>
      </c>
      <c r="H11" s="55" t="inlineStr">
        <is>
          <t>Critical</t>
        </is>
      </c>
      <c r="I11" s="51" t="inlineStr">
        <is>
          <t>2-3 weeks</t>
        </is>
      </c>
      <c r="J11" s="51" t="inlineStr">
        <is>
          <t>No</t>
        </is>
      </c>
      <c r="K11" s="52" t="inlineStr">
        <is>
          <t>Automotive-rated relays; document the schematic for scrutineering.</t>
        </is>
      </c>
    </row>
    <row r="12">
      <c r="A12" s="51" t="inlineStr">
        <is>
          <t>DV-008</t>
        </is>
      </c>
      <c r="B12" s="51" t="inlineStr">
        <is>
          <t>Safety / Rules Hardware</t>
        </is>
      </c>
      <c r="C12" s="52" t="inlineStr">
        <is>
          <t>DV livery, signage and required markings</t>
        </is>
      </c>
      <c r="D12" s="52" t="inlineStr">
        <is>
          <t>Vinyl decals, 'Brake Release' labels, DV class markings</t>
        </is>
      </c>
      <c r="E12" s="53" t="n">
        <v>1</v>
      </c>
      <c r="F12" s="54" t="n">
        <v>150</v>
      </c>
      <c r="G12" s="54">
        <f>E12*F12</f>
        <v/>
      </c>
      <c r="H12" s="51" t="inlineStr">
        <is>
          <t>High</t>
        </is>
      </c>
      <c r="I12" s="51" t="inlineStr">
        <is>
          <t>1-2 weeks</t>
        </is>
      </c>
      <c r="J12" s="51" t="inlineStr">
        <is>
          <t>Likely (local print shop)</t>
        </is>
      </c>
      <c r="K12" s="52" t="inlineStr">
        <is>
          <t>Check the current-year rulebook for exact wording and placement.</t>
        </is>
      </c>
    </row>
    <row r="13">
      <c r="A13" s="51" t="inlineStr">
        <is>
          <t>DV-009</t>
        </is>
      </c>
      <c r="B13" s="51" t="inlineStr">
        <is>
          <t>Software / License</t>
        </is>
      </c>
      <c r="C13" s="52" t="inlineStr">
        <is>
          <t>Rulebook + standards library</t>
        </is>
      </c>
      <c r="D13" s="52" t="inlineStr">
        <is>
          <t>ISO 26262 and ISO 21448 (SOTIF) - purchase or university library access</t>
        </is>
      </c>
      <c r="E13" s="53" t="n">
        <v>1</v>
      </c>
      <c r="F13" s="54" t="n">
        <v>0</v>
      </c>
      <c r="G13" s="54">
        <f>E13*F13</f>
        <v/>
      </c>
      <c r="H13" s="51" t="inlineStr">
        <is>
          <t>High</t>
        </is>
      </c>
      <c r="I13" s="51" t="inlineStr">
        <is>
          <t>1 week</t>
        </is>
      </c>
      <c r="J13" s="51" t="inlineStr">
        <is>
          <t>n/a</t>
        </is>
      </c>
      <c r="K13" s="52" t="inlineStr">
        <is>
          <t>ISO copies are expensive (~US$200-2,000/part). CHECK THE UNIVERSITY LIBRARY FIRST - usually free access.</t>
        </is>
      </c>
    </row>
    <row r="14">
      <c r="A14" s="51" t="inlineStr">
        <is>
          <t>DV-010</t>
        </is>
      </c>
      <c r="B14" s="51" t="inlineStr">
        <is>
          <t>Facilities / Admin</t>
        </is>
      </c>
      <c r="C14" s="52" t="inlineStr">
        <is>
          <t>Competition registration + DV class entry</t>
        </is>
      </c>
      <c r="D14" s="52" t="inlineStr">
        <is>
          <t>FSAE Electric (Driverless Class) and/or FSG entry fees</t>
        </is>
      </c>
      <c r="E14" s="53" t="n">
        <v>1</v>
      </c>
      <c r="F14" s="54" t="n">
        <v>1500</v>
      </c>
      <c r="G14" s="54">
        <f>E14*F14</f>
        <v/>
      </c>
      <c r="H14" s="55" t="inlineStr">
        <is>
          <t>Critical</t>
        </is>
      </c>
      <c r="I14" s="51" t="inlineStr">
        <is>
          <t>Registration window</t>
        </is>
      </c>
      <c r="J14" s="51" t="inlineStr">
        <is>
          <t>Sponsor-funded</t>
        </is>
      </c>
      <c r="K14" s="52" t="inlineStr">
        <is>
          <t>Placeholder - confirm current-year fees. Registration windows are strict and early.</t>
        </is>
      </c>
    </row>
    <row r="15">
      <c r="A15" s="51" t="inlineStr">
        <is>
          <t>DV-011</t>
        </is>
      </c>
      <c r="B15" s="51" t="inlineStr">
        <is>
          <t>Software / License</t>
        </is>
      </c>
      <c r="C15" s="52" t="inlineStr">
        <is>
          <t>Git hosting + CI minutes</t>
        </is>
      </c>
      <c r="D15" s="52" t="inlineStr">
        <is>
          <t>GitHub Education (free private repos + Actions) or self-hosted GitLab</t>
        </is>
      </c>
      <c r="E15" s="53" t="n">
        <v>1</v>
      </c>
      <c r="F15" s="54" t="n">
        <v>0</v>
      </c>
      <c r="G15" s="54">
        <f>E15*F15</f>
        <v/>
      </c>
      <c r="H15" s="55" t="inlineStr">
        <is>
          <t>Critical</t>
        </is>
      </c>
      <c r="I15" s="51" t="inlineStr">
        <is>
          <t>Immediate</t>
        </is>
      </c>
      <c r="J15" s="51" t="inlineStr">
        <is>
          <t>Free for students</t>
        </is>
      </c>
      <c r="K15" s="52" t="inlineStr">
        <is>
          <t>Apply via GitHub Education. Zero cost - decide the version-control strategy in month 1.</t>
        </is>
      </c>
    </row>
    <row r="16">
      <c r="A16" s="51" t="inlineStr">
        <is>
          <t>DV-012</t>
        </is>
      </c>
      <c r="B16" s="51" t="inlineStr">
        <is>
          <t>Software / License</t>
        </is>
      </c>
      <c r="C16" s="52" t="inlineStr">
        <is>
          <t>Project management + documentation tooling</t>
        </is>
      </c>
      <c r="D16" s="52" t="inlineStr">
        <is>
          <t>Notion/Linear/Jira student tier, or self-hosted</t>
        </is>
      </c>
      <c r="E16" s="53" t="n">
        <v>1</v>
      </c>
      <c r="F16" s="54" t="n">
        <v>0</v>
      </c>
      <c r="G16" s="54">
        <f>E16*F16</f>
        <v/>
      </c>
      <c r="H16" s="51" t="inlineStr">
        <is>
          <t>Medium</t>
        </is>
      </c>
      <c r="I16" s="51" t="inlineStr">
        <is>
          <t>Immediate</t>
        </is>
      </c>
      <c r="J16" s="51" t="inlineStr">
        <is>
          <t>Free education tiers</t>
        </is>
      </c>
      <c r="K16" s="52" t="inlineStr">
        <is>
          <t>Free education plans exist for all three.</t>
        </is>
      </c>
    </row>
    <row r="17">
      <c r="A17" s="51" t="inlineStr">
        <is>
          <t>DV-013</t>
        </is>
      </c>
      <c r="B17" s="51" t="inlineStr">
        <is>
          <t>Software / License</t>
        </is>
      </c>
      <c r="C17" s="52" t="inlineStr">
        <is>
          <t>MATLAB / Simulink + toolboxes</t>
        </is>
      </c>
      <c r="D17" s="52" t="inlineStr">
        <is>
          <t>Vehicle Dynamics Blockset, MPC Toolbox, Automated Driving Toolbox</t>
        </is>
      </c>
      <c r="E17" s="53" t="n">
        <v>1</v>
      </c>
      <c r="F17" s="54" t="n">
        <v>0</v>
      </c>
      <c r="G17" s="54">
        <f>E17*F17</f>
        <v/>
      </c>
      <c r="H17" s="51" t="inlineStr">
        <is>
          <t>High</t>
        </is>
      </c>
      <c r="I17" s="51" t="inlineStr">
        <is>
          <t>2-4 weeks</t>
        </is>
      </c>
      <c r="J17" s="51" t="inlineStr">
        <is>
          <t>Yes - MathWorks sponsors FS teams</t>
        </is>
      </c>
      <c r="K17" s="52" t="inlineStr">
        <is>
          <t>MathWorks gives free competition licences to Formula Student teams. Apply early; also check your campus site licence.</t>
        </is>
      </c>
    </row>
    <row r="18">
      <c r="A18" s="51" t="inlineStr">
        <is>
          <t>DV-014</t>
        </is>
      </c>
      <c r="B18" s="51" t="inlineStr">
        <is>
          <t>Software / License</t>
        </is>
      </c>
      <c r="C18" s="52" t="inlineStr">
        <is>
          <t>CAD / PDM (already sponsored)</t>
        </is>
      </c>
      <c r="D18" s="52" t="inlineStr">
        <is>
          <t>SOLIDWORKS / 3DEXPERIENCE via SAE Collegiate Design Series</t>
        </is>
      </c>
      <c r="E18" s="53" t="n">
        <v>1</v>
      </c>
      <c r="F18" s="54" t="n">
        <v>0</v>
      </c>
      <c r="G18" s="54">
        <f>E18*F18</f>
        <v/>
      </c>
      <c r="H18" s="51" t="inlineStr">
        <is>
          <t>Medium</t>
        </is>
      </c>
      <c r="I18" s="51" t="inlineStr">
        <is>
          <t>Already held</t>
        </is>
      </c>
      <c r="J18" s="51" t="inlineStr">
        <is>
          <t>Yes - Dassault via SAE</t>
        </is>
      </c>
      <c r="K18" s="52" t="inlineStr">
        <is>
          <t>Apply under a TEAM email, not a personal one. Export data at end of season.</t>
        </is>
      </c>
    </row>
    <row r="19">
      <c r="A19" s="51" t="inlineStr">
        <is>
          <t>DV-015</t>
        </is>
      </c>
      <c r="B19" s="51" t="inlineStr">
        <is>
          <t>Sensing - LiDAR</t>
        </is>
      </c>
      <c r="C19" s="52" t="inlineStr">
        <is>
          <t>Primary LiDAR</t>
        </is>
      </c>
      <c r="D19" s="52" t="inlineStr">
        <is>
          <t>Livox Mid-360 - 360x59 deg, 40m @10% / 70m @80%, 265g, IP67, built-in IMU, 0.1m blind zone</t>
        </is>
      </c>
      <c r="E19" s="53" t="n">
        <v>1</v>
      </c>
      <c r="F19" s="54" t="n">
        <v>749</v>
      </c>
      <c r="G19" s="54">
        <f>E19*F19</f>
        <v/>
      </c>
      <c r="H19" s="55" t="inlineStr">
        <is>
          <t>Critical</t>
        </is>
      </c>
      <c r="I19" s="51" t="inlineStr">
        <is>
          <t>3-6 weeks</t>
        </is>
      </c>
      <c r="J19" s="51" t="inlineStr">
        <is>
          <t>Possible via distributor</t>
        </is>
      </c>
      <c r="K19" s="52" t="inlineStr">
        <is>
          <t>Best price/performance for a new team. Non-repetitive scan needs point accumulation. Weak vendor support.</t>
        </is>
      </c>
    </row>
    <row r="20">
      <c r="A20" s="51" t="inlineStr">
        <is>
          <t>DV-016</t>
        </is>
      </c>
      <c r="B20" s="51" t="inlineStr">
        <is>
          <t>Sensing - LiDAR</t>
        </is>
      </c>
      <c r="C20" s="52" t="inlineStr">
        <is>
          <t>Secondary near-field LiDAR</t>
        </is>
      </c>
      <c r="D20" s="52" t="inlineStr">
        <is>
          <t>Livox Mid-360 as near-field/blind-spot fill alongside the OS1-128</t>
        </is>
      </c>
      <c r="E20" s="53" t="n">
        <v>1</v>
      </c>
      <c r="F20" s="54" t="n">
        <v>749</v>
      </c>
      <c r="G20" s="54">
        <f>E20*F20</f>
        <v/>
      </c>
      <c r="H20" s="51" t="inlineStr">
        <is>
          <t>Medium</t>
        </is>
      </c>
      <c r="I20" s="51" t="inlineStr">
        <is>
          <t>3-6 weeks</t>
        </is>
      </c>
      <c r="J20" s="51" t="inlineStr">
        <is>
          <t>Possible</t>
        </is>
      </c>
      <c r="K20" s="52" t="inlineStr">
        <is>
          <t>Covers the OS1's near blind zone in tight hairpins (~9m diameter).</t>
        </is>
      </c>
    </row>
    <row r="21">
      <c r="A21" s="51" t="inlineStr">
        <is>
          <t>DV-017</t>
        </is>
      </c>
      <c r="B21" s="51" t="inlineStr">
        <is>
          <t>Sensing - Camera</t>
        </is>
      </c>
      <c r="C21" s="52" t="inlineStr">
        <is>
          <t>Stereo camera</t>
        </is>
      </c>
      <c r="D21" s="52" t="inlineStr">
        <is>
          <t>Used Stereolabs ZED 2i (rolling shutter, IP66, built-in IMU) or RealSense D455</t>
        </is>
      </c>
      <c r="E21" s="53" t="n">
        <v>1</v>
      </c>
      <c r="F21" s="54" t="n">
        <v>350</v>
      </c>
      <c r="G21" s="54">
        <f>E21*F21</f>
        <v/>
      </c>
      <c r="H21" s="55" t="inlineStr">
        <is>
          <t>Critical</t>
        </is>
      </c>
      <c r="I21" s="51" t="inlineStr">
        <is>
          <t>1-3 weeks</t>
        </is>
      </c>
      <c r="J21" s="51" t="inlineStr">
        <is>
          <t>Yes - Stereolabs has a student programme</t>
        </is>
      </c>
      <c r="K21" s="52" t="inlineStr">
        <is>
          <t>Rolling shutter smears at speed - acceptable at the &lt;5 m/s year-1 target. Verify RealSense availability; that line has had discontinuation uncertainty.</t>
        </is>
      </c>
    </row>
    <row r="22">
      <c r="A22" s="51" t="inlineStr">
        <is>
          <t>DV-018</t>
        </is>
      </c>
      <c r="B22" s="51" t="inlineStr">
        <is>
          <t>Sensing - Camera</t>
        </is>
      </c>
      <c r="C22" s="52" t="inlineStr">
        <is>
          <t>Lens set for machine-vision cameras</t>
        </is>
      </c>
      <c r="D22" s="52" t="inlineStr">
        <is>
          <t>C-mount lenses sized for cone detection at 25m (far ~50-60 deg HFOV, near ~120 deg)</t>
        </is>
      </c>
      <c r="E22" s="53" t="n">
        <v>2</v>
      </c>
      <c r="F22" s="54" t="n">
        <v>300</v>
      </c>
      <c r="G22" s="54">
        <f>E22*F22</f>
        <v/>
      </c>
      <c r="H22" s="51" t="inlineStr">
        <is>
          <t>High</t>
        </is>
      </c>
      <c r="I22" s="51" t="inlineStr">
        <is>
          <t>3-5 weeks</t>
        </is>
      </c>
      <c r="J22" s="51" t="inlineStr">
        <is>
          <t>Possible</t>
        </is>
      </c>
      <c r="K22" s="52" t="inlineStr">
        <is>
          <t>A 325mm cone at 25m on 1080p/50 deg HFOV is only ~15px tall - near the detection floor. Do the FOV maths before ordering.</t>
        </is>
      </c>
    </row>
    <row r="23">
      <c r="A23" s="51" t="inlineStr">
        <is>
          <t>DV-019</t>
        </is>
      </c>
      <c r="B23" s="51" t="inlineStr">
        <is>
          <t>Test Equipment</t>
        </is>
      </c>
      <c r="C23" s="52" t="inlineStr">
        <is>
          <t>Calibration targets</t>
        </is>
      </c>
      <c r="D23" s="52" t="inlineStr">
        <is>
          <t>Rigid checkerboard board + printed AprilTag boards + calibration jig</t>
        </is>
      </c>
      <c r="E23" s="53" t="n">
        <v>1</v>
      </c>
      <c r="F23" s="54" t="n">
        <v>200</v>
      </c>
      <c r="G23" s="54">
        <f>E23*F23</f>
        <v/>
      </c>
      <c r="H23" s="51" t="inlineStr">
        <is>
          <t>High</t>
        </is>
      </c>
      <c r="I23" s="51" t="inlineStr">
        <is>
          <t>2 weeks</t>
        </is>
      </c>
      <c r="J23" s="51" t="inlineStr">
        <is>
          <t>No</t>
        </is>
      </c>
      <c r="K23" s="52" t="inlineStr">
        <is>
          <t>Use with Kalibr (camera-IMU), lidar_camera_calibration, direct_visual_lidar_calibration. Rigidity matters more than size.</t>
        </is>
      </c>
    </row>
    <row r="24">
      <c r="A24" s="51" t="inlineStr">
        <is>
          <t>DV-020</t>
        </is>
      </c>
      <c r="B24" s="51" t="inlineStr">
        <is>
          <t>Actuation / Mounting</t>
        </is>
      </c>
      <c r="C24" s="52" t="inlineStr">
        <is>
          <t>Sensor mounts + vibration isolation</t>
        </is>
      </c>
      <c r="D24" s="52" t="inlineStr">
        <is>
          <t>Machined/printed LiDAR nosecone mount, main-hoop camera mounts, wire-rope isolators, Sorbothane</t>
        </is>
      </c>
      <c r="E24" s="53" t="n">
        <v>1</v>
      </c>
      <c r="F24" s="54" t="n">
        <v>600</v>
      </c>
      <c r="G24" s="54">
        <f>E24*F24</f>
        <v/>
      </c>
      <c r="H24" s="51" t="inlineStr">
        <is>
          <t>High</t>
        </is>
      </c>
      <c r="I24" s="51" t="inlineStr">
        <is>
          <t>3-4 weeks</t>
        </is>
      </c>
      <c r="J24" s="51" t="inlineStr">
        <is>
          <t>Possible (machining sponsor)</t>
        </is>
      </c>
      <c r="K24" s="52" t="inlineStr">
        <is>
          <t>Tier 1 = basic mounts. Nose mount gives the best forward view but is crash-exposed; protect it or use replaceable side boxes.</t>
        </is>
      </c>
    </row>
    <row r="25">
      <c r="A25" s="51" t="inlineStr">
        <is>
          <t>DV-021</t>
        </is>
      </c>
      <c r="B25" s="51" t="inlineStr">
        <is>
          <t>Compute</t>
        </is>
      </c>
      <c r="C25" s="52" t="inlineStr">
        <is>
          <t>ML training workstation</t>
        </is>
      </c>
      <c r="D25" s="52" t="inlineStr">
        <is>
          <t>Ryzen 9 / i9, 64GB RAM, RTX 4080 (16-24GB), 2TB NVMe</t>
        </is>
      </c>
      <c r="E25" s="53" t="n">
        <v>1</v>
      </c>
      <c r="F25" s="54" t="n">
        <v>3500</v>
      </c>
      <c r="G25" s="54">
        <f>E25*F25</f>
        <v/>
      </c>
      <c r="H25" s="51" t="inlineStr">
        <is>
          <t>High</t>
        </is>
      </c>
      <c r="I25" s="51" t="inlineStr">
        <is>
          <t>2-4 weeks</t>
        </is>
      </c>
      <c r="J25" s="51" t="inlineStr">
        <is>
          <t>Yes - NVIDIA academic seeding</t>
        </is>
      </c>
      <c r="K25" s="52" t="inlineStr">
        <is>
          <t>Tier 1: use existing lab machines or campus HPC (cost $0). Needed to train YOLO/segmentation on FSOCO.</t>
        </is>
      </c>
    </row>
    <row r="26">
      <c r="A26" s="51" t="inlineStr">
        <is>
          <t>DV-022</t>
        </is>
      </c>
      <c r="B26" s="51" t="inlineStr">
        <is>
          <t>Software / License</t>
        </is>
      </c>
      <c r="C26" s="52" t="inlineStr">
        <is>
          <t>Cone dataset</t>
        </is>
      </c>
      <c r="D26" s="52" t="inlineStr">
        <is>
          <t>FSOCO - 44,195 images / 316,669 labelled cones, bboxes + instance segmentation</t>
        </is>
      </c>
      <c r="E26" s="53" t="n">
        <v>1</v>
      </c>
      <c r="F26" s="54" t="n">
        <v>0</v>
      </c>
      <c r="G26" s="54">
        <f>E26*F26</f>
        <v/>
      </c>
      <c r="H26" s="55" t="inlineStr">
        <is>
          <t>Critical</t>
        </is>
      </c>
      <c r="I26" s="51" t="inlineStr">
        <is>
          <t>Immediate</t>
        </is>
      </c>
      <c r="J26" s="51" t="inlineStr">
        <is>
          <t>Free</t>
        </is>
      </c>
      <c r="K26" s="52" t="inlineStr">
        <is>
          <t>PUBLIC since Aug 2022 - the old contribution buy-in is gone. fsoco-dataset.com. Contributing back is still encouraged.</t>
        </is>
      </c>
    </row>
    <row r="27">
      <c r="A27" s="51" t="inlineStr">
        <is>
          <t>DV-023</t>
        </is>
      </c>
      <c r="B27" s="51" t="inlineStr">
        <is>
          <t>Software / License</t>
        </is>
      </c>
      <c r="C27" s="52" t="inlineStr">
        <is>
          <t>Detection model licence check</t>
        </is>
      </c>
      <c r="D27" s="52" t="inlineStr">
        <is>
          <t>YOLOX / MMDetection / Detectron2 (permissive) vs Ultralytics YOLO (AGPL-3.0)</t>
        </is>
      </c>
      <c r="E27" s="53" t="n">
        <v>1</v>
      </c>
      <c r="F27" s="54" t="n">
        <v>0</v>
      </c>
      <c r="G27" s="54">
        <f>E27*F27</f>
        <v/>
      </c>
      <c r="H27" s="51" t="inlineStr">
        <is>
          <t>High</t>
        </is>
      </c>
      <c r="I27" s="51" t="inlineStr">
        <is>
          <t>Immediate</t>
        </is>
      </c>
      <c r="J27" s="51" t="inlineStr">
        <is>
          <t>Free</t>
        </is>
      </c>
      <c r="K27" s="52" t="inlineStr">
        <is>
          <t>Ultralytics is AGPL-3.0 - can force open-sourcing of dependent code if distributed. Fine for competition, a problem if a sponsor wants closed code.</t>
        </is>
      </c>
    </row>
    <row r="28">
      <c r="A28" s="51" t="inlineStr">
        <is>
          <t>DV-024</t>
        </is>
      </c>
      <c r="B28" s="51" t="inlineStr">
        <is>
          <t>Sensing - GNSS/INS</t>
        </is>
      </c>
      <c r="C28" s="52" t="inlineStr">
        <is>
          <t>GNSS/INS</t>
        </is>
      </c>
      <c r="D28" s="52" t="inlineStr">
        <is>
          <t>ArduSimple simpleRTK2B (u-blox ZED-F9P) + antenna, paired with a separate IMU</t>
        </is>
      </c>
      <c r="E28" s="53" t="n">
        <v>1</v>
      </c>
      <c r="F28" s="54" t="n">
        <v>400</v>
      </c>
      <c r="G28" s="54">
        <f>E28*F28</f>
        <v/>
      </c>
      <c r="H28" s="51" t="inlineStr">
        <is>
          <t>High</t>
        </is>
      </c>
      <c r="I28" s="51" t="inlineStr">
        <is>
          <t>2-4 weeks</t>
        </is>
      </c>
      <c r="J28" s="51" t="inlineStr">
        <is>
          <t>No</t>
        </is>
      </c>
      <c r="K28" s="52" t="inlineStr">
        <is>
          <t>Budget RTK. No dual-antenna heading - yaw at standstill will be weak, which hurts skidpad starts.</t>
        </is>
      </c>
    </row>
    <row r="29">
      <c r="A29" s="51" t="inlineStr">
        <is>
          <t>DV-025</t>
        </is>
      </c>
      <c r="B29" s="51" t="inlineStr">
        <is>
          <t>Sensing - GNSS/INS</t>
        </is>
      </c>
      <c r="C29" s="52" t="inlineStr">
        <is>
          <t>Dual GNSS antennas + low-loss cabling</t>
        </is>
      </c>
      <c r="D29" s="52" t="inlineStr">
        <is>
          <t>L1/L2 survey antennas x2 + LMR cabling, roll-hoop/bodywork mounts</t>
        </is>
      </c>
      <c r="E29" s="53" t="n">
        <v>1</v>
      </c>
      <c r="F29" s="54" t="n">
        <v>400</v>
      </c>
      <c r="G29" s="54">
        <f>E29*F29</f>
        <v/>
      </c>
      <c r="H29" s="51" t="inlineStr">
        <is>
          <t>High</t>
        </is>
      </c>
      <c r="I29" s="51" t="inlineStr">
        <is>
          <t>3-4 weeks</t>
        </is>
      </c>
      <c r="J29" s="51" t="inlineStr">
        <is>
          <t>Bundled with INS sponsorship</t>
        </is>
      </c>
      <c r="K29" s="52" t="inlineStr">
        <is>
          <t>Antenna baseline length drives heading accuracy - plan the mounting geometry with the mech team.</t>
        </is>
      </c>
    </row>
    <row r="30">
      <c r="A30" s="51" t="inlineStr">
        <is>
          <t>DV-026</t>
        </is>
      </c>
      <c r="B30" s="51" t="inlineStr">
        <is>
          <t>Software / License</t>
        </is>
      </c>
      <c r="C30" s="52" t="inlineStr">
        <is>
          <t>RTK correction service (Canada)</t>
        </is>
      </c>
      <c r="D30" s="52" t="inlineStr">
        <is>
          <t>Commercial NTRIP subscription (RTKdata / RTK FIX) - annual</t>
        </is>
      </c>
      <c r="E30" s="53" t="n">
        <v>1</v>
      </c>
      <c r="F30" s="54" t="n">
        <v>600</v>
      </c>
      <c r="G30" s="54">
        <f>E30*F30</f>
        <v/>
      </c>
      <c r="H30" s="51" t="inlineStr">
        <is>
          <t>Medium</t>
        </is>
      </c>
      <c r="I30" s="51" t="inlineStr">
        <is>
          <t>1 week</t>
        </is>
      </c>
      <c r="J30" s="51" t="inlineStr">
        <is>
          <t>Possible</t>
        </is>
      </c>
      <c r="K30" s="52" t="inlineStr">
        <is>
          <t>Tier 1: free casters RTK2go / Emlid Caster ($0). Only Quebec offers free provincial corrections - a Manitoba team will run its own base or pay. Cross-check NRCan's RTK network list.</t>
        </is>
      </c>
    </row>
    <row r="31">
      <c r="A31" s="51" t="inlineStr">
        <is>
          <t>DV-027</t>
        </is>
      </c>
      <c r="B31" s="51" t="inlineStr">
        <is>
          <t>Test Equipment</t>
        </is>
      </c>
      <c r="C31" s="52" t="inlineStr">
        <is>
          <t>Optical ground-speed sensor (ground truth)</t>
        </is>
      </c>
      <c r="D31" s="52" t="inlineStr">
        <is>
          <t>Kistler Correvit (or GeneSys ADMA) - slip-free velocity reference</t>
        </is>
      </c>
      <c r="E31" s="53" t="n">
        <v>1</v>
      </c>
      <c r="F31" s="54" t="n">
        <v>6000</v>
      </c>
      <c r="G31" s="54">
        <f>E31*F31</f>
        <v/>
      </c>
      <c r="H31" s="51" t="inlineStr">
        <is>
          <t>Low</t>
        </is>
      </c>
      <c r="I31" s="51" t="inlineStr">
        <is>
          <t>10-16 weeks</t>
        </is>
      </c>
      <c r="J31" s="51" t="inlineStr">
        <is>
          <t>Yes - usually sponsored</t>
        </is>
      </c>
      <c r="K31" s="52" t="inlineStr">
        <is>
          <t>Validation only, shared with Testing. AMZ and Elefant both ran ground-speed sensors. Skip unless sponsored.</t>
        </is>
      </c>
    </row>
    <row r="32">
      <c r="A32" s="51" t="inlineStr">
        <is>
          <t>DV-028</t>
        </is>
      </c>
      <c r="B32" s="51" t="inlineStr">
        <is>
          <t>Test Equipment</t>
        </is>
      </c>
      <c r="C32" s="52" t="inlineStr">
        <is>
          <t>Survey-grade RTK rover for map ground truth</t>
        </is>
      </c>
      <c r="D32" s="52" t="inlineStr">
        <is>
          <t>Handheld RTK rover to survey true cone positions on the test track</t>
        </is>
      </c>
      <c r="E32" s="53" t="n">
        <v>1</v>
      </c>
      <c r="F32" s="54" t="n">
        <v>600</v>
      </c>
      <c r="G32" s="54">
        <f>E32*F32</f>
        <v/>
      </c>
      <c r="H32" s="51" t="inlineStr">
        <is>
          <t>High</t>
        </is>
      </c>
      <c r="I32" s="51" t="inlineStr">
        <is>
          <t>3-4 weeks</t>
        </is>
      </c>
      <c r="J32" s="51" t="inlineStr">
        <is>
          <t>No</t>
        </is>
      </c>
      <c r="K32" s="52" t="inlineStr">
        <is>
          <t>You cannot report a mapping RMSE without surveyed cone truth. Target &lt;1m year 1; AMZ achieved 0.29m.</t>
        </is>
      </c>
    </row>
    <row r="33">
      <c r="A33" s="51" t="inlineStr">
        <is>
          <t>DV-029</t>
        </is>
      </c>
      <c r="B33" s="51" t="inlineStr">
        <is>
          <t>Software / License</t>
        </is>
      </c>
      <c r="C33" s="52" t="inlineStr">
        <is>
          <t>FSAE Tire Test Consortium membership</t>
        </is>
      </c>
      <c r="D33" s="52" t="inlineStr">
        <is>
          <t>TTC membership - measured Calspan tire data for Pacejka/Magic Formula fitting</t>
        </is>
      </c>
      <c r="E33" s="53" t="n">
        <v>1</v>
      </c>
      <c r="F33" s="54" t="n">
        <v>500</v>
      </c>
      <c r="G33" s="54">
        <f>E33*F33</f>
        <v/>
      </c>
      <c r="H33" s="51" t="inlineStr">
        <is>
          <t>High</t>
        </is>
      </c>
      <c r="I33" s="51" t="inlineStr">
        <is>
          <t>2-4 weeks</t>
        </is>
      </c>
      <c r="J33" s="51" t="inlineStr">
        <is>
          <t>No (team pays)</t>
        </is>
      </c>
      <c r="K33" s="52" t="inlineStr">
        <is>
          <t>Essential for a credible vehicle model. Join at fsaettc.org. Cheapest single item with the biggest effect on model fidelity.</t>
        </is>
      </c>
    </row>
    <row r="34">
      <c r="A34" s="51" t="inlineStr">
        <is>
          <t>DV-030</t>
        </is>
      </c>
      <c r="B34" s="51" t="inlineStr">
        <is>
          <t>Software / License</t>
        </is>
      </c>
      <c r="C34" s="52" t="inlineStr">
        <is>
          <t>Lap-time / vehicle dynamics simulation</t>
        </is>
      </c>
      <c r="D34" s="52" t="inlineStr">
        <is>
          <t>OptimumLap (free) + OptimumDynamics licence</t>
        </is>
      </c>
      <c r="E34" s="53" t="n">
        <v>1</v>
      </c>
      <c r="F34" s="54" t="n">
        <v>1000</v>
      </c>
      <c r="G34" s="54">
        <f>E34*F34</f>
        <v/>
      </c>
      <c r="H34" s="51" t="inlineStr">
        <is>
          <t>Medium</t>
        </is>
      </c>
      <c r="I34" s="51" t="inlineStr">
        <is>
          <t>2-4 weeks</t>
        </is>
      </c>
      <c r="J34" s="51" t="inlineStr">
        <is>
          <t>Yes - OptimumG supports FS teams</t>
        </is>
      </c>
      <c r="K34" s="52" t="inlineStr">
        <is>
          <t>OptimumLap alone is free and enough for year 1 speed-profile sanity checks.</t>
        </is>
      </c>
    </row>
    <row r="35">
      <c r="A35" s="51" t="inlineStr">
        <is>
          <t>DV-031</t>
        </is>
      </c>
      <c r="B35" s="51" t="inlineStr">
        <is>
          <t>Software / License</t>
        </is>
      </c>
      <c r="C35" s="52" t="inlineStr">
        <is>
          <t>Optimisation and MPC solver stack</t>
        </is>
      </c>
      <c r="D35" s="52" t="inlineStr">
        <is>
          <t>acados, CasADi, OSQP, HPIPM, TUM global_racetrajectory_optimization, GTSAM, Ceres</t>
        </is>
      </c>
      <c r="E35" s="53" t="n">
        <v>1</v>
      </c>
      <c r="F35" s="54" t="n">
        <v>0</v>
      </c>
      <c r="G35" s="54">
        <f>E35*F35</f>
        <v/>
      </c>
      <c r="H35" s="55" t="inlineStr">
        <is>
          <t>Critical</t>
        </is>
      </c>
      <c r="I35" s="51" t="inlineStr">
        <is>
          <t>Immediate</t>
        </is>
      </c>
      <c r="J35" s="51" t="inlineStr">
        <is>
          <t>Free / open source</t>
        </is>
      </c>
      <c r="K35" s="52" t="inlineStr">
        <is>
          <t>All open source. TUM's minimum-curvature raceline optimiser is the standard offline tool; ETH's MPCC is the reference racing controller.</t>
        </is>
      </c>
    </row>
    <row r="36">
      <c r="A36" s="51" t="inlineStr">
        <is>
          <t>DV-032</t>
        </is>
      </c>
      <c r="B36" s="51" t="inlineStr">
        <is>
          <t>Compute</t>
        </is>
      </c>
      <c r="C36" s="52" t="inlineStr">
        <is>
          <t>Offline optimisation workstation share</t>
        </is>
      </c>
      <c r="D36" s="52" t="inlineStr">
        <is>
          <t>Access to the Perception training box for overnight raceline/MPC tuning runs</t>
        </is>
      </c>
      <c r="E36" s="53" t="n">
        <v>0</v>
      </c>
      <c r="F36" s="54" t="n">
        <v>0</v>
      </c>
      <c r="G36" s="54">
        <f>E36*F36</f>
        <v/>
      </c>
      <c r="H36" s="51" t="inlineStr">
        <is>
          <t>Low</t>
        </is>
      </c>
      <c r="I36" s="51" t="inlineStr">
        <is>
          <t>n/a</t>
        </is>
      </c>
      <c r="J36" s="51" t="inlineStr">
        <is>
          <t>n/a</t>
        </is>
      </c>
      <c r="K36" s="52" t="inlineStr">
        <is>
          <t>No separate purchase - schedule time on the shared training machine. Listed so it is not forgotten in planning.</t>
        </is>
      </c>
    </row>
    <row r="37">
      <c r="A37" s="51" t="inlineStr">
        <is>
          <t>DV-033</t>
        </is>
      </c>
      <c r="B37" s="51" t="inlineStr">
        <is>
          <t>Test Equipment</t>
        </is>
      </c>
      <c r="C37" s="52" t="inlineStr">
        <is>
          <t>Rack-force load cell</t>
        </is>
      </c>
      <c r="D37" s="52" t="inlineStr">
        <is>
          <t>Inline load cell + amplifier to measure real steering rack force before sizing the actuator</t>
        </is>
      </c>
      <c r="E37" s="53" t="n">
        <v>1</v>
      </c>
      <c r="F37" s="54" t="n">
        <v>250</v>
      </c>
      <c r="G37" s="54">
        <f>E37*F37</f>
        <v/>
      </c>
      <c r="H37" s="51" t="inlineStr">
        <is>
          <t>High</t>
        </is>
      </c>
      <c r="I37" s="51" t="inlineStr">
        <is>
          <t>2-3 weeks</t>
        </is>
      </c>
      <c r="J37" s="51" t="inlineStr">
        <is>
          <t>No</t>
        </is>
      </c>
      <c r="K37" s="52" t="inlineStr">
        <is>
          <t>Size the steering actuator from MEASURED rack force, not motor datasheet headlines. Shared item with the Mech/EE interface work.</t>
        </is>
      </c>
    </row>
    <row r="38">
      <c r="A38" s="51" t="inlineStr">
        <is>
          <t>DV-034</t>
        </is>
      </c>
      <c r="B38" s="51" t="inlineStr">
        <is>
          <t>Compute</t>
        </is>
      </c>
      <c r="C38" s="52" t="inlineStr">
        <is>
          <t>Onboard compute</t>
        </is>
      </c>
      <c r="D38" s="52" t="inlineStr">
        <is>
          <t>NVIDIA Jetson AGX Orin 64GB Developer Kit - 275 TOPS, 15-60W</t>
        </is>
      </c>
      <c r="E38" s="53" t="n">
        <v>1</v>
      </c>
      <c r="F38" s="54" t="n">
        <v>999</v>
      </c>
      <c r="G38" s="54">
        <f>E38*F38</f>
        <v/>
      </c>
      <c r="H38" s="55" t="inlineStr">
        <is>
          <t>Critical</t>
        </is>
      </c>
      <c r="I38" s="51" t="inlineStr">
        <is>
          <t>3-8 weeks</t>
        </is>
      </c>
      <c r="J38" s="51" t="inlineStr">
        <is>
          <t>Yes - NVIDIA seeds Jetsons to student teams</t>
        </is>
      </c>
      <c r="K38" s="52" t="inlineStr">
        <is>
          <t>List US$1,999 but frequently ~US$999 on promotion. Minimises power/heat/packaging pain vs x86. DisplayPort only.</t>
        </is>
      </c>
    </row>
    <row r="39">
      <c r="A39" s="51" t="inlineStr">
        <is>
          <t>DV-035</t>
        </is>
      </c>
      <c r="B39" s="51" t="inlineStr">
        <is>
          <t>Data / Storage</t>
        </is>
      </c>
      <c r="C39" s="52" t="inlineStr">
        <is>
          <t>Onboard logging NVMe</t>
        </is>
      </c>
      <c r="D39" s="52" t="inlineStr">
        <is>
          <t>2TB NVMe SSD for rosbag/MCAP capture</t>
        </is>
      </c>
      <c r="E39" s="53" t="n">
        <v>1</v>
      </c>
      <c r="F39" s="54" t="n">
        <v>180</v>
      </c>
      <c r="G39" s="54">
        <f>E39*F39</f>
        <v/>
      </c>
      <c r="H39" s="55" t="inlineStr">
        <is>
          <t>Critical</t>
        </is>
      </c>
      <c r="I39" s="51" t="inlineStr">
        <is>
          <t>1-2 weeks</t>
        </is>
      </c>
      <c r="J39" s="51" t="inlineStr">
        <is>
          <t>No</t>
        </is>
      </c>
      <c r="K39" s="52" t="inlineStr">
        <is>
          <t>LiDAR + multi-camera logs run several GB/min. Expect 1-2TB per full test day - offload nightly.</t>
        </is>
      </c>
    </row>
    <row r="40">
      <c r="A40" s="51" t="inlineStr">
        <is>
          <t>DV-036</t>
        </is>
      </c>
      <c r="B40" s="51" t="inlineStr">
        <is>
          <t>Networking / Power</t>
        </is>
      </c>
      <c r="C40" s="52" t="inlineStr">
        <is>
          <t>CAN interface</t>
        </is>
      </c>
      <c r="D40" s="52" t="inlineStr">
        <is>
          <t>PEAK PCAN-USB / SocketCAN adapter x2</t>
        </is>
      </c>
      <c r="E40" s="53" t="n">
        <v>2</v>
      </c>
      <c r="F40" s="54" t="n">
        <v>125</v>
      </c>
      <c r="G40" s="54">
        <f>E40*F40</f>
        <v/>
      </c>
      <c r="H40" s="55" t="inlineStr">
        <is>
          <t>Critical</t>
        </is>
      </c>
      <c r="I40" s="51" t="inlineStr">
        <is>
          <t>1-2 weeks</t>
        </is>
      </c>
      <c r="J40" s="51" t="inlineStr">
        <is>
          <t>No</t>
        </is>
      </c>
      <c r="K40" s="52" t="inlineStr">
        <is>
          <t>You must emit the FSG CAN message set (0x500, 0x501, 0x502, 0x511-0x515) at 100ms - design the DBC around it from day one.</t>
        </is>
      </c>
    </row>
    <row r="41">
      <c r="A41" s="51" t="inlineStr">
        <is>
          <t>DV-037</t>
        </is>
      </c>
      <c r="B41" s="51" t="inlineStr">
        <is>
          <t>Networking / Power</t>
        </is>
      </c>
      <c r="C41" s="52" t="inlineStr">
        <is>
          <t>Managed automotive Ethernet switch + PoE</t>
        </is>
      </c>
      <c r="D41" s="52" t="inlineStr">
        <is>
          <t>Industrial managed switch with PoE for sensors, PTP-capable</t>
        </is>
      </c>
      <c r="E41" s="53" t="n">
        <v>1</v>
      </c>
      <c r="F41" s="54" t="n">
        <v>400</v>
      </c>
      <c r="G41" s="54">
        <f>E41*F41</f>
        <v/>
      </c>
      <c r="H41" s="55" t="inlineStr">
        <is>
          <t>Critical</t>
        </is>
      </c>
      <c r="I41" s="51" t="inlineStr">
        <is>
          <t>2-4 weeks</t>
        </is>
      </c>
      <c r="J41" s="51" t="inlineStr">
        <is>
          <t>No</t>
        </is>
      </c>
      <c r="K41" s="52" t="inlineStr">
        <is>
          <t>Route Ethernet away from HV cabling; shield and ground for tractive-system EMI.</t>
        </is>
      </c>
    </row>
    <row r="42">
      <c r="A42" s="51" t="inlineStr">
        <is>
          <t>DV-038</t>
        </is>
      </c>
      <c r="B42" s="51" t="inlineStr">
        <is>
          <t>Networking / Power</t>
        </is>
      </c>
      <c r="C42" s="52" t="inlineStr">
        <is>
          <t>Wide-input DC-DC converter (500W)</t>
        </is>
      </c>
      <c r="D42" s="52" t="inlineStr">
        <is>
          <t>Vicor / Traco / MeanWell rugged automotive DC-DC from LV bus</t>
        </is>
      </c>
      <c r="E42" s="53" t="n">
        <v>1</v>
      </c>
      <c r="F42" s="54" t="n">
        <v>350</v>
      </c>
      <c r="G42" s="54">
        <f>E42*F42</f>
        <v/>
      </c>
      <c r="H42" s="55" t="inlineStr">
        <is>
          <t>Critical</t>
        </is>
      </c>
      <c r="I42" s="51" t="inlineStr">
        <is>
          <t>3-4 weeks</t>
        </is>
      </c>
      <c r="J42" s="51" t="inlineStr">
        <is>
          <t>Possible</t>
        </is>
      </c>
      <c r="K42" s="52" t="inlineStr">
        <is>
          <t>Budget the AS load: Jetson ~60W + LiDAR ~15W + cameras + INS + switch + actuators. Leave 300-500W headroom.</t>
        </is>
      </c>
    </row>
    <row r="43">
      <c r="A43" s="51" t="inlineStr">
        <is>
          <t>DV-039</t>
        </is>
      </c>
      <c r="B43" s="51" t="inlineStr">
        <is>
          <t>Networking / Power</t>
        </is>
      </c>
      <c r="C43" s="52" t="inlineStr">
        <is>
          <t>LV power distribution + fusing</t>
        </is>
      </c>
      <c r="D43" s="52" t="inlineStr">
        <is>
          <t>PDU, fuses, breakers, bus bars for the added AS loads</t>
        </is>
      </c>
      <c r="E43" s="53" t="n">
        <v>1</v>
      </c>
      <c r="F43" s="54" t="n">
        <v>300</v>
      </c>
      <c r="G43" s="54">
        <f>E43*F43</f>
        <v/>
      </c>
      <c r="H43" s="55" t="inlineStr">
        <is>
          <t>Critical</t>
        </is>
      </c>
      <c r="I43" s="51" t="inlineStr">
        <is>
          <t>2-3 weeks</t>
        </is>
      </c>
      <c r="J43" s="51" t="inlineStr">
        <is>
          <t>No</t>
        </is>
      </c>
      <c r="K43" s="52" t="inlineStr">
        <is>
          <t>Existing EV PDU will need rework - plan this with the sparkies early.</t>
        </is>
      </c>
    </row>
    <row r="44">
      <c r="A44" s="51" t="inlineStr">
        <is>
          <t>DV-040</t>
        </is>
      </c>
      <c r="B44" s="51" t="inlineStr">
        <is>
          <t>Networking / Power</t>
        </is>
      </c>
      <c r="C44" s="52" t="inlineStr">
        <is>
          <t>Connector + crimp tooling kit</t>
        </is>
      </c>
      <c r="D44" s="52" t="inlineStr">
        <is>
          <t>Deutsch DTM / Autosport / TE / Amphenol kit plus proper crimpers</t>
        </is>
      </c>
      <c r="E44" s="53" t="n">
        <v>1</v>
      </c>
      <c r="F44" s="54" t="n">
        <v>600</v>
      </c>
      <c r="G44" s="54">
        <f>E44*F44</f>
        <v/>
      </c>
      <c r="H44" s="55" t="inlineStr">
        <is>
          <t>Critical</t>
        </is>
      </c>
      <c r="I44" s="51" t="inlineStr">
        <is>
          <t>2-3 weeks</t>
        </is>
      </c>
      <c r="J44" s="51" t="inlineStr">
        <is>
          <t>Possible</t>
        </is>
      </c>
      <c r="K44" s="52" t="inlineStr">
        <is>
          <t>Bad crimps cause more DNFs than bad algorithms. Buy the real crimp tools.</t>
        </is>
      </c>
    </row>
    <row r="45">
      <c r="A45" s="51" t="inlineStr">
        <is>
          <t>DV-041</t>
        </is>
      </c>
      <c r="B45" s="51" t="inlineStr">
        <is>
          <t>Networking / Power</t>
        </is>
      </c>
      <c r="C45" s="52" t="inlineStr">
        <is>
          <t>Shielded Ethernet / GMSL2 cabling + glands</t>
        </is>
      </c>
      <c r="D45" s="52" t="inlineStr">
        <is>
          <t>Shielded cabling, right-angle connectors, strain relief</t>
        </is>
      </c>
      <c r="E45" s="53" t="n">
        <v>1</v>
      </c>
      <c r="F45" s="54" t="n">
        <v>300</v>
      </c>
      <c r="G45" s="54">
        <f>E45*F45</f>
        <v/>
      </c>
      <c r="H45" s="51" t="inlineStr">
        <is>
          <t>High</t>
        </is>
      </c>
      <c r="I45" s="51" t="inlineStr">
        <is>
          <t>2-3 weeks</t>
        </is>
      </c>
      <c r="J45" s="51" t="inlineStr">
        <is>
          <t>No</t>
        </is>
      </c>
      <c r="K45" s="52" t="inlineStr">
        <is>
          <t>Keep sensor data lines physically separated from HV runs.</t>
        </is>
      </c>
    </row>
    <row r="46">
      <c r="A46" s="51" t="inlineStr">
        <is>
          <t>DV-042</t>
        </is>
      </c>
      <c r="B46" s="51" t="inlineStr">
        <is>
          <t>Compute</t>
        </is>
      </c>
      <c r="C46" s="52" t="inlineStr">
        <is>
          <t>Microcontroller dev boards</t>
        </is>
      </c>
      <c r="D46" s="52" t="inlineStr">
        <is>
          <t>STM32 Nucleo / Teensy 4.1 x5 for real-time control and state machine work</t>
        </is>
      </c>
      <c r="E46" s="53" t="n">
        <v>5</v>
      </c>
      <c r="F46" s="54" t="n">
        <v>40</v>
      </c>
      <c r="G46" s="54">
        <f>E46*F46</f>
        <v/>
      </c>
      <c r="H46" s="51" t="inlineStr">
        <is>
          <t>High</t>
        </is>
      </c>
      <c r="I46" s="51" t="inlineStr">
        <is>
          <t>1-2 weeks</t>
        </is>
      </c>
      <c r="J46" s="51" t="inlineStr">
        <is>
          <t>No</t>
        </is>
      </c>
      <c r="K46" s="52" t="inlineStr">
        <is>
          <t>Real-time control belongs on MCUs, not on the Jetson. Run PREEMPT_RT on the main compute.</t>
        </is>
      </c>
    </row>
    <row r="47">
      <c r="A47" s="51" t="inlineStr">
        <is>
          <t>DV-043</t>
        </is>
      </c>
      <c r="B47" s="51" t="inlineStr">
        <is>
          <t>Compute</t>
        </is>
      </c>
      <c r="C47" s="52" t="inlineStr">
        <is>
          <t>Safety-oriented MCU dev kit</t>
        </is>
      </c>
      <c r="D47" s="52" t="inlineStr">
        <is>
          <t>NXP S32K automotive MCU dev kit for EBS supervisor logic</t>
        </is>
      </c>
      <c r="E47" s="53" t="n">
        <v>1</v>
      </c>
      <c r="F47" s="54" t="n">
        <v>150</v>
      </c>
      <c r="G47" s="54">
        <f>E47*F47</f>
        <v/>
      </c>
      <c r="H47" s="55" t="inlineStr">
        <is>
          <t>Critical</t>
        </is>
      </c>
      <c r="I47" s="51" t="inlineStr">
        <is>
          <t>2-3 weeks</t>
        </is>
      </c>
      <c r="J47" s="51" t="inlineStr">
        <is>
          <t>Possible - NXP</t>
        </is>
      </c>
      <c r="K47" s="52" t="inlineStr">
        <is>
          <t>Pairs with the non-programmable logic latch; scrutineers will ask to see the failure analysis.</t>
        </is>
      </c>
    </row>
    <row r="48">
      <c r="A48" s="51" t="inlineStr">
        <is>
          <t>DV-044</t>
        </is>
      </c>
      <c r="B48" s="51" t="inlineStr">
        <is>
          <t>Safety / Rules Hardware</t>
        </is>
      </c>
      <c r="C48" s="52" t="inlineStr">
        <is>
          <t>EBS supervisor board (non-programmable logic)</t>
        </is>
      </c>
      <c r="D48" s="52" t="inlineStr">
        <is>
          <t>74xx-series latch + plausibility monitoring, custom PCB fab + assembly</t>
        </is>
      </c>
      <c r="E48" s="53" t="n">
        <v>1</v>
      </c>
      <c r="F48" s="54" t="n">
        <v>400</v>
      </c>
      <c r="G48" s="54">
        <f>E48*F48</f>
        <v/>
      </c>
      <c r="H48" s="55" t="inlineStr">
        <is>
          <t>Critical</t>
        </is>
      </c>
      <c r="I48" s="51" t="inlineStr">
        <is>
          <t>4-6 weeks</t>
        </is>
      </c>
      <c r="J48" s="51" t="inlineStr">
        <is>
          <t>No</t>
        </is>
      </c>
      <c r="K48" s="52" t="inlineStr">
        <is>
          <t>The FSG reference design (Stollberger/Gebhardt) specifies NON-PROGRAMMABLE logic for the EBS latch. Do not implement this purely in software.</t>
        </is>
      </c>
    </row>
    <row r="49">
      <c r="A49" s="51" t="inlineStr">
        <is>
          <t>DV-045</t>
        </is>
      </c>
      <c r="B49" s="51" t="inlineStr">
        <is>
          <t>Safety / Rules Hardware</t>
        </is>
      </c>
      <c r="C49" s="52" t="inlineStr">
        <is>
          <t>DV interface PCB (fab + assembly)</t>
        </is>
      </c>
      <c r="D49" s="52" t="inlineStr">
        <is>
          <t>Custom board tying shutdown circuit, relays, ASSI, AMI, sensors (JLCPCB/PCBWay, 3 spins)</t>
        </is>
      </c>
      <c r="E49" s="53" t="n">
        <v>1</v>
      </c>
      <c r="F49" s="54" t="n">
        <v>800</v>
      </c>
      <c r="G49" s="54">
        <f>E49*F49</f>
        <v/>
      </c>
      <c r="H49" s="55" t="inlineStr">
        <is>
          <t>Critical</t>
        </is>
      </c>
      <c r="I49" s="51" t="inlineStr">
        <is>
          <t>3-5 weeks per spin</t>
        </is>
      </c>
      <c r="J49" s="51" t="inlineStr">
        <is>
          <t>No</t>
        </is>
      </c>
      <c r="K49" s="52" t="inlineStr">
        <is>
          <t>Budget three revisions. Order spares of every connector on it.</t>
        </is>
      </c>
    </row>
    <row r="50">
      <c r="A50" s="51" t="inlineStr">
        <is>
          <t>DV-046</t>
        </is>
      </c>
      <c r="B50" s="51" t="inlineStr">
        <is>
          <t>Sensing - Other</t>
        </is>
      </c>
      <c r="C50" s="52" t="inlineStr">
        <is>
          <t>Steering angle absolute encoder</t>
        </is>
      </c>
      <c r="D50" s="52" t="inlineStr">
        <is>
          <t>Magnetic absolute encoder (RLS / Bourns / CUI) on column or rack</t>
        </is>
      </c>
      <c r="E50" s="53" t="n">
        <v>1</v>
      </c>
      <c r="F50" s="54" t="n">
        <v>150</v>
      </c>
      <c r="G50" s="54">
        <f>E50*F50</f>
        <v/>
      </c>
      <c r="H50" s="55" t="inlineStr">
        <is>
          <t>Critical</t>
        </is>
      </c>
      <c r="I50" s="51" t="inlineStr">
        <is>
          <t>2-3 weeks</t>
        </is>
      </c>
      <c r="J50" s="51" t="inlineStr">
        <is>
          <t>No</t>
        </is>
      </c>
      <c r="K50" s="52" t="inlineStr">
        <is>
          <t>Rules require logging steering angle actual vs target. Absolute, not incremental.</t>
        </is>
      </c>
    </row>
    <row r="51">
      <c r="A51" s="51" t="inlineStr">
        <is>
          <t>DV-047</t>
        </is>
      </c>
      <c r="B51" s="51" t="inlineStr">
        <is>
          <t>Compute</t>
        </is>
      </c>
      <c r="C51" s="52" t="inlineStr">
        <is>
          <t>Compute cooling + vibration isolation</t>
        </is>
      </c>
      <c r="D51" s="52" t="inlineStr">
        <is>
          <t>Ventilated enclosure, fans, heatsinks, wire-rope isolators</t>
        </is>
      </c>
      <c r="E51" s="53" t="n">
        <v>1</v>
      </c>
      <c r="F51" s="54" t="n">
        <v>650</v>
      </c>
      <c r="G51" s="54">
        <f>E51*F51</f>
        <v/>
      </c>
      <c r="H51" s="51" t="inlineStr">
        <is>
          <t>High</t>
        </is>
      </c>
      <c r="I51" s="51" t="inlineStr">
        <is>
          <t>3-4 weeks</t>
        </is>
      </c>
      <c r="J51" s="51" t="inlineStr">
        <is>
          <t>No</t>
        </is>
      </c>
      <c r="K51" s="52" t="inlineStr">
        <is>
          <t>Elefant used ventilated side boxes. Keep the compute off sprung-mass hot spots.</t>
        </is>
      </c>
    </row>
    <row r="52">
      <c r="A52" s="51" t="inlineStr">
        <is>
          <t>DV-048</t>
        </is>
      </c>
      <c r="B52" s="51" t="inlineStr">
        <is>
          <t>Tooling / Bench</t>
        </is>
      </c>
      <c r="C52" s="52" t="inlineStr">
        <is>
          <t>Electronics bench</t>
        </is>
      </c>
      <c r="D52" s="52" t="inlineStr">
        <is>
          <t>Bench PSU, 4ch oscilloscope, logic analyzer, soldering/rework station, multimeters</t>
        </is>
      </c>
      <c r="E52" s="53" t="n">
        <v>1</v>
      </c>
      <c r="F52" s="54" t="n">
        <v>2500</v>
      </c>
      <c r="G52" s="54">
        <f>E52*F52</f>
        <v/>
      </c>
      <c r="H52" s="51" t="inlineStr">
        <is>
          <t>High</t>
        </is>
      </c>
      <c r="I52" s="51" t="inlineStr">
        <is>
          <t>3-4 weeks</t>
        </is>
      </c>
      <c r="J52" s="51" t="inlineStr">
        <is>
          <t>Possible (Keysight/Rigol edu pricing)</t>
        </is>
      </c>
      <c r="K52" s="52" t="inlineStr">
        <is>
          <t>Tier 1: borrow the ECE department's bench ($0). This is the single biggest quality-of-life purchase for bring-up.</t>
        </is>
      </c>
    </row>
    <row r="53">
      <c r="A53" s="51" t="inlineStr">
        <is>
          <t>DV-049</t>
        </is>
      </c>
      <c r="B53" s="51" t="inlineStr">
        <is>
          <t>Safety / Rules Hardware</t>
        </is>
      </c>
      <c r="C53" s="52" t="inlineStr">
        <is>
          <t>DMI / dash display</t>
        </is>
      </c>
      <c r="D53" s="52" t="inlineStr">
        <is>
          <t>Small ruggedised display for Driverless Mission Indicator + status</t>
        </is>
      </c>
      <c r="E53" s="53" t="n">
        <v>1</v>
      </c>
      <c r="F53" s="54" t="n">
        <v>200</v>
      </c>
      <c r="G53" s="54">
        <f>E53*F53</f>
        <v/>
      </c>
      <c r="H53" s="51" t="inlineStr">
        <is>
          <t>High</t>
        </is>
      </c>
      <c r="I53" s="51" t="inlineStr">
        <is>
          <t>2-3 weeks</t>
        </is>
      </c>
      <c r="J53" s="51" t="inlineStr">
        <is>
          <t>No</t>
        </is>
      </c>
      <c r="K53" s="52" t="inlineStr">
        <is>
          <t>Firmware responsibility #7 on the org chart.</t>
        </is>
      </c>
    </row>
    <row r="54">
      <c r="A54" s="51" t="inlineStr">
        <is>
          <t>DV-050</t>
        </is>
      </c>
      <c r="B54" s="51" t="inlineStr">
        <is>
          <t>Actuation - Steering</t>
        </is>
      </c>
      <c r="C54" s="52" t="inlineStr">
        <is>
          <t>Steering actuator</t>
        </is>
      </c>
      <c r="D54" s="52" t="inlineStr">
        <is>
          <t>Salvaged automotive EPS column motor (Prius/Corolla/VW) + ODrive or custom driver</t>
        </is>
      </c>
      <c r="E54" s="53" t="n">
        <v>1</v>
      </c>
      <c r="F54" s="54" t="n">
        <v>900</v>
      </c>
      <c r="G54" s="54">
        <f>E54*F54</f>
        <v/>
      </c>
      <c r="H54" s="55" t="inlineStr">
        <is>
          <t>Critical</t>
        </is>
      </c>
      <c r="I54" s="51" t="inlineStr">
        <is>
          <t>4-8 weeks + reverse engineering</t>
        </is>
      </c>
      <c r="J54" s="51" t="inlineStr">
        <is>
          <t>No</t>
        </is>
      </c>
      <c r="K54" s="52" t="inlineStr">
        <is>
          <t>Cheapest hardware, most software risk - you must reverse-engineer the CAN/torque-sensor protocol. Manual steering must remain possible with ASMS OFF and nothing removed.</t>
        </is>
      </c>
    </row>
    <row r="55">
      <c r="A55" s="51" t="inlineStr">
        <is>
          <t>DV-051</t>
        </is>
      </c>
      <c r="B55" s="51" t="inlineStr">
        <is>
          <t>Actuation - Steering</t>
        </is>
      </c>
      <c r="C55" s="52" t="inlineStr">
        <is>
          <t>Steering drive train hardware</t>
        </is>
      </c>
      <c r="D55" s="52" t="inlineStr">
        <is>
          <t>Ball screw, HTD belt + pulleys, machined bracket, bearings, shaft stock</t>
        </is>
      </c>
      <c r="E55" s="53" t="n">
        <v>1</v>
      </c>
      <c r="F55" s="54" t="n">
        <v>600</v>
      </c>
      <c r="G55" s="54">
        <f>E55*F55</f>
        <v/>
      </c>
      <c r="H55" s="55" t="inlineStr">
        <is>
          <t>Critical</t>
        </is>
      </c>
      <c r="I55" s="51" t="inlineStr">
        <is>
          <t>4-6 weeks</t>
        </is>
      </c>
      <c r="J55" s="51" t="inlineStr">
        <is>
          <t>Possible (machining sponsor)</t>
        </is>
      </c>
      <c r="K55" s="52" t="inlineStr">
        <is>
          <t>Included in the Tier 2/3 actuator packages above; separate line for the Tier 1 DIY route.</t>
        </is>
      </c>
    </row>
    <row r="56">
      <c r="A56" s="51" t="inlineStr">
        <is>
          <t>DV-052</t>
        </is>
      </c>
      <c r="B56" s="51" t="inlineStr">
        <is>
          <t>Actuation - Brake / EBS</t>
        </is>
      </c>
      <c r="C56" s="52" t="inlineStr">
        <is>
          <t>EBS pneumatic system</t>
        </is>
      </c>
      <c r="D56" s="52" t="inlineStr">
        <is>
          <t>Air tank + regulator + normally-open solenoid + Festo/SMC cylinder + 3x pressure sensors + fittings</t>
        </is>
      </c>
      <c r="E56" s="53" t="n">
        <v>1</v>
      </c>
      <c r="F56" s="54" t="n">
        <v>1200</v>
      </c>
      <c r="G56" s="54">
        <f>E56*F56</f>
        <v/>
      </c>
      <c r="H56" s="55" t="inlineStr">
        <is>
          <t>Critical</t>
        </is>
      </c>
      <c r="I56" s="51" t="inlineStr">
        <is>
          <t>6-10 weeks</t>
        </is>
      </c>
      <c r="J56" s="51" t="inlineStr">
        <is>
          <t>Possible - Festo/SMC</t>
        </is>
      </c>
      <c r="K56" s="52" t="inlineStr">
        <is>
          <t>Must use PASSIVE mechanical energy storage and release without electrical power. &gt;=10 m/s2 average deceleration, &lt;=200ms reaction. NO push-in fittings at the EBS.</t>
        </is>
      </c>
    </row>
    <row r="57">
      <c r="A57" s="51" t="inlineStr">
        <is>
          <t>DV-053</t>
        </is>
      </c>
      <c r="B57" s="51" t="inlineStr">
        <is>
          <t>Actuation - Brake / EBS</t>
        </is>
      </c>
      <c r="C57" s="52" t="inlineStr">
        <is>
          <t>Driverless master cylinders + shuttle valves</t>
        </is>
      </c>
      <c r="D57" s="52" t="inlineStr">
        <is>
          <t>Dedicated DV master cylinders + 3-way higher-pressure-wins valves into existing hydraulic lines</t>
        </is>
      </c>
      <c r="E57" s="53" t="n">
        <v>1</v>
      </c>
      <c r="F57" s="54" t="n">
        <v>500</v>
      </c>
      <c r="G57" s="54">
        <f>E57*F57</f>
        <v/>
      </c>
      <c r="H57" s="55" t="inlineStr">
        <is>
          <t>Critical</t>
        </is>
      </c>
      <c r="I57" s="51" t="inlineStr">
        <is>
          <t>4-6 weeks</t>
        </is>
      </c>
      <c r="J57" s="51" t="inlineStr">
        <is>
          <t>Possible</t>
        </is>
      </c>
      <c r="K57" s="52" t="inlineStr">
        <is>
          <t>Pattern used by Carnegie Mellon Racing and Politecnico di Torino.</t>
        </is>
      </c>
    </row>
    <row r="58">
      <c r="A58" s="51" t="inlineStr">
        <is>
          <t>DV-054</t>
        </is>
      </c>
      <c r="B58" s="51" t="inlineStr">
        <is>
          <t>Safety / Rules Hardware</t>
        </is>
      </c>
      <c r="C58" s="52" t="inlineStr">
        <is>
          <t>Brake Release deactivation handles</t>
        </is>
      </c>
      <c r="D58" s="52" t="inlineStr">
        <is>
          <t>Max 2 red handles marked 'Brake Release', operable with no power or tools</t>
        </is>
      </c>
      <c r="E58" s="53" t="n">
        <v>2</v>
      </c>
      <c r="F58" s="54" t="n">
        <v>40</v>
      </c>
      <c r="G58" s="54">
        <f>E58*F58</f>
        <v/>
      </c>
      <c r="H58" s="55" t="inlineStr">
        <is>
          <t>Critical</t>
        </is>
      </c>
      <c r="I58" s="51" t="inlineStr">
        <is>
          <t>2 weeks</t>
        </is>
      </c>
      <c r="J58" s="51" t="inlineStr">
        <is>
          <t>No</t>
        </is>
      </c>
      <c r="K58" s="52" t="inlineStr">
        <is>
          <t>Must be near the vehicle centreline on top of the car.</t>
        </is>
      </c>
    </row>
    <row r="59">
      <c r="A59" s="51" t="inlineStr">
        <is>
          <t>DV-055</t>
        </is>
      </c>
      <c r="B59" s="51" t="inlineStr">
        <is>
          <t>Actuation - Brake / EBS</t>
        </is>
      </c>
      <c r="C59" s="52" t="inlineStr">
        <is>
          <t>Hydraulic lines, fittings and brake spares</t>
        </is>
      </c>
      <c r="D59" s="52" t="inlineStr">
        <is>
          <t>Braided lines, unions, bleed kit, spare pads/fluid</t>
        </is>
      </c>
      <c r="E59" s="53" t="n">
        <v>1</v>
      </c>
      <c r="F59" s="54" t="n">
        <v>250</v>
      </c>
      <c r="G59" s="54">
        <f>E59*F59</f>
        <v/>
      </c>
      <c r="H59" s="51" t="inlineStr">
        <is>
          <t>High</t>
        </is>
      </c>
      <c r="I59" s="51" t="inlineStr">
        <is>
          <t>2-3 weeks</t>
        </is>
      </c>
      <c r="J59" s="51" t="inlineStr">
        <is>
          <t>No</t>
        </is>
      </c>
      <c r="K59" s="52" t="inlineStr">
        <is>
          <t>You will bleed this system many, many times during EBS validation.</t>
        </is>
      </c>
    </row>
    <row r="60">
      <c r="A60" s="51" t="inlineStr">
        <is>
          <t>DV-056</t>
        </is>
      </c>
      <c r="B60" s="51" t="inlineStr">
        <is>
          <t>Tooling / Bench</t>
        </is>
      </c>
      <c r="C60" s="52" t="inlineStr">
        <is>
          <t>Compressed air fill equipment</t>
        </is>
      </c>
      <c r="D60" s="52" t="inlineStr">
        <is>
          <t>Compressor or fill adapter + gauges for recharging the EBS tank between runs</t>
        </is>
      </c>
      <c r="E60" s="53" t="n">
        <v>1</v>
      </c>
      <c r="F60" s="54" t="n">
        <v>400</v>
      </c>
      <c r="G60" s="54">
        <f>E60*F60</f>
        <v/>
      </c>
      <c r="H60" s="51" t="inlineStr">
        <is>
          <t>High</t>
        </is>
      </c>
      <c r="I60" s="51" t="inlineStr">
        <is>
          <t>2-3 weeks</t>
        </is>
      </c>
      <c r="J60" s="51" t="inlineStr">
        <is>
          <t>No</t>
        </is>
      </c>
      <c r="K60" s="52" t="inlineStr">
        <is>
          <t>You recharge after every startup check and every e-stop - a slow fill kills test-day throughput.</t>
        </is>
      </c>
    </row>
    <row r="61">
      <c r="A61" s="51" t="inlineStr">
        <is>
          <t>DV-057</t>
        </is>
      </c>
      <c r="B61" s="51" t="inlineStr">
        <is>
          <t>Test Platform (RC)</t>
        </is>
      </c>
      <c r="C61" s="52" t="inlineStr">
        <is>
          <t>F1TENTH platform</t>
        </is>
      </c>
      <c r="D61" s="52" t="inlineStr">
        <is>
          <t>Traxxas Slash 4x4 + VESC 6 MkVI + RPLiDAR A2/S2 + Jetson Orin Nano + USB global-shutter cam + 2x LiPo + deck/IMU/power board</t>
        </is>
      </c>
      <c r="E61" s="53" t="n">
        <v>1</v>
      </c>
      <c r="F61" s="54" t="n">
        <v>2160</v>
      </c>
      <c r="G61" s="54">
        <f>E61*F61</f>
        <v/>
      </c>
      <c r="H61" s="55" t="inlineStr">
        <is>
          <t>Critical</t>
        </is>
      </c>
      <c r="I61" s="51" t="inlineStr">
        <is>
          <t>4-6 weeks</t>
        </is>
      </c>
      <c r="J61" s="51" t="inlineStr">
        <is>
          <t>Partial - NVIDIA for the Orin Nano</t>
        </is>
      </c>
      <c r="K61" s="52" t="inlineStr">
        <is>
          <t>DO THIS FIRST. Exercises the entire ROS2 stack indoors over the Winnipeg winter, before the car is ready. BOM documented at f1tenth.org.</t>
        </is>
      </c>
    </row>
    <row r="62">
      <c r="A62" s="51" t="inlineStr">
        <is>
          <t>DV-058</t>
        </is>
      </c>
      <c r="B62" s="51" t="inlineStr">
        <is>
          <t>Test Equipment</t>
        </is>
      </c>
      <c r="C62" s="52" t="inlineStr">
        <is>
          <t>Practice cones</t>
        </is>
      </c>
      <c r="D62" s="52" t="inlineStr">
        <is>
          <t>200x generic 12.5in traffic cones in blue/yellow/orange + 20x 18in orange</t>
        </is>
      </c>
      <c r="E62" s="53" t="n">
        <v>220</v>
      </c>
      <c r="F62" s="54" t="n">
        <v>5</v>
      </c>
      <c r="G62" s="54">
        <f>E62*F62</f>
        <v/>
      </c>
      <c r="H62" s="55" t="inlineStr">
        <is>
          <t>Critical</t>
        </is>
      </c>
      <c r="I62" s="51" t="inlineStr">
        <is>
          <t>2-3 weeks</t>
        </is>
      </c>
      <c r="J62" s="51" t="inlineStr">
        <is>
          <t>Possible (local supplier)</t>
        </is>
      </c>
      <c r="K62" s="52" t="inlineStr">
        <is>
          <t>Max cone spacing in the driving direction is 5m, so a full autocross/trackdrive layout needs 200-400+. Buy cheap locally for practice.</t>
        </is>
      </c>
    </row>
    <row r="63">
      <c r="A63" s="51" t="inlineStr">
        <is>
          <t>DV-059</t>
        </is>
      </c>
      <c r="B63" s="51" t="inlineStr">
        <is>
          <t>Test Equipment</t>
        </is>
      </c>
      <c r="C63" s="52" t="inlineStr">
        <is>
          <t>Track marking + measurement kit</t>
        </is>
      </c>
      <c r="D63" s="52" t="inlineStr">
        <is>
          <t>Chalk-based spray paint (Technima Tempo T.P.) x24, 100m tape, laser rangefinder, measuring wheel</t>
        </is>
      </c>
      <c r="E63" s="53" t="n">
        <v>1</v>
      </c>
      <c r="F63" s="54" t="n">
        <v>600</v>
      </c>
      <c r="G63" s="54">
        <f>E63*F63</f>
        <v/>
      </c>
      <c r="H63" s="51" t="inlineStr">
        <is>
          <t>High</t>
        </is>
      </c>
      <c r="I63" s="51" t="inlineStr">
        <is>
          <t>2-3 weeks</t>
        </is>
      </c>
      <c r="J63" s="51" t="inlineStr">
        <is>
          <t>No</t>
        </is>
      </c>
      <c r="K63" s="52" t="inlineStr">
        <is>
          <t>You need an 18.25m-diameter skidpad laid out accurately, plus a 75m accel run with shutdown area.</t>
        </is>
      </c>
    </row>
    <row r="64">
      <c r="A64" s="51" t="inlineStr">
        <is>
          <t>DV-060</t>
        </is>
      </c>
      <c r="B64" s="51" t="inlineStr">
        <is>
          <t>Safety Equipment</t>
        </is>
      </c>
      <c r="C64" s="52" t="inlineStr">
        <is>
          <t>Fire extinguishers</t>
        </is>
      </c>
      <c r="D64" s="52" t="inlineStr">
        <is>
          <t>3x extinguishers including lithium-battery-rated</t>
        </is>
      </c>
      <c r="E64" s="53" t="n">
        <v>3</v>
      </c>
      <c r="F64" s="54" t="n">
        <v>165</v>
      </c>
      <c r="G64" s="54">
        <f>E64*F64</f>
        <v/>
      </c>
      <c r="H64" s="55" t="inlineStr">
        <is>
          <t>Critical</t>
        </is>
      </c>
      <c r="I64" s="51" t="inlineStr">
        <is>
          <t>1-2 weeks</t>
        </is>
      </c>
      <c r="J64" s="51" t="inlineStr">
        <is>
          <t>No</t>
        </is>
      </c>
      <c r="K64" s="52" t="inlineStr">
        <is>
          <t>Non-negotiable for any EV test day.</t>
        </is>
      </c>
    </row>
    <row r="65">
      <c r="A65" s="51" t="inlineStr">
        <is>
          <t>DV-061</t>
        </is>
      </c>
      <c r="B65" s="51" t="inlineStr">
        <is>
          <t>Safety Equipment</t>
        </is>
      </c>
      <c r="C65" s="52" t="inlineStr">
        <is>
          <t>HV personal protective equipment</t>
        </is>
      </c>
      <c r="D65" s="52" t="inlineStr">
        <is>
          <t>Class 0 (1000V) insulating gloves + leather overgloves, HV boots, insulating mat, rescue hook/pole</t>
        </is>
      </c>
      <c r="E65" s="53" t="n">
        <v>1</v>
      </c>
      <c r="F65" s="54" t="n">
        <v>900</v>
      </c>
      <c r="G65" s="54">
        <f>E65*F65</f>
        <v/>
      </c>
      <c r="H65" s="55" t="inlineStr">
        <is>
          <t>Critical</t>
        </is>
      </c>
      <c r="I65" s="51" t="inlineStr">
        <is>
          <t>2-3 weeks</t>
        </is>
      </c>
      <c r="J65" s="51" t="inlineStr">
        <is>
          <t>No</t>
        </is>
      </c>
      <c r="K65" s="52" t="inlineStr">
        <is>
          <t>Class 0 gloves need periodic recertification - track the test dates.</t>
        </is>
      </c>
    </row>
    <row r="66">
      <c r="A66" s="51" t="inlineStr">
        <is>
          <t>DV-062</t>
        </is>
      </c>
      <c r="B66" s="51" t="inlineStr">
        <is>
          <t>Safety Equipment</t>
        </is>
      </c>
      <c r="C66" s="52" t="inlineStr">
        <is>
          <t>First aid + site safety kit</t>
        </is>
      </c>
      <c r="D66" s="52" t="inlineStr">
        <is>
          <t>First aid kit, eye wash, barriers, hi-vis vests, pit mats</t>
        </is>
      </c>
      <c r="E66" s="53" t="n">
        <v>1</v>
      </c>
      <c r="F66" s="54" t="n">
        <v>450</v>
      </c>
      <c r="G66" s="54">
        <f>E66*F66</f>
        <v/>
      </c>
      <c r="H66" s="55" t="inlineStr">
        <is>
          <t>Critical</t>
        </is>
      </c>
      <c r="I66" s="51" t="inlineStr">
        <is>
          <t>1-2 weeks</t>
        </is>
      </c>
      <c r="J66" s="51" t="inlineStr">
        <is>
          <t>No</t>
        </is>
      </c>
      <c r="K66" s="52" t="inlineStr">
        <is>
          <t>Low DV finishing rates are mostly a safety and reliability problem - treat SOPs as core engineering.</t>
        </is>
      </c>
    </row>
    <row r="67">
      <c r="A67" s="51" t="inlineStr">
        <is>
          <t>DV-063</t>
        </is>
      </c>
      <c r="B67" s="51" t="inlineStr">
        <is>
          <t>Safety Equipment</t>
        </is>
      </c>
      <c r="C67" s="52" t="inlineStr">
        <is>
          <t>Two-way radios</t>
        </is>
      </c>
      <c r="D67" s="52" t="inlineStr">
        <is>
          <t>6x radios with headsets for spotters, RES operator and pit</t>
        </is>
      </c>
      <c r="E67" s="53" t="n">
        <v>6</v>
      </c>
      <c r="F67" s="54" t="n">
        <v>65</v>
      </c>
      <c r="G67" s="54">
        <f>E67*F67</f>
        <v/>
      </c>
      <c r="H67" s="55" t="inlineStr">
        <is>
          <t>Critical</t>
        </is>
      </c>
      <c r="I67" s="51" t="inlineStr">
        <is>
          <t>1-2 weeks</t>
        </is>
      </c>
      <c r="J67" s="51" t="inlineStr">
        <is>
          <t>No</t>
        </is>
      </c>
      <c r="K67" s="52" t="inlineStr">
        <is>
          <t>Do an RES range check before EVERY session, and never run without dedicated spotters.</t>
        </is>
      </c>
    </row>
    <row r="68">
      <c r="A68" s="51" t="inlineStr">
        <is>
          <t>DV-064</t>
        </is>
      </c>
      <c r="B68" s="51" t="inlineStr">
        <is>
          <t>Test Equipment</t>
        </is>
      </c>
      <c r="C68" s="52" t="inlineStr">
        <is>
          <t>Telemetry link</t>
        </is>
      </c>
      <c r="D68" s="52" t="inlineStr">
        <is>
          <t>RFD900 / Ubiquiti one-way telemetry radio pair + antennas</t>
        </is>
      </c>
      <c r="E68" s="53" t="n">
        <v>1</v>
      </c>
      <c r="F68" s="54" t="n">
        <v>400</v>
      </c>
      <c r="G68" s="54">
        <f>E68*F68</f>
        <v/>
      </c>
      <c r="H68" s="51" t="inlineStr">
        <is>
          <t>High</t>
        </is>
      </c>
      <c r="I68" s="51" t="inlineStr">
        <is>
          <t>2-4 weeks</t>
        </is>
      </c>
      <c r="J68" s="51" t="inlineStr">
        <is>
          <t>No</t>
        </is>
      </c>
      <c r="K68" s="52" t="inlineStr">
        <is>
          <t>One-way telemetry only - two-way control is banned between start/finish lines.</t>
        </is>
      </c>
    </row>
    <row r="69">
      <c r="A69" s="51" t="inlineStr">
        <is>
          <t>DV-065</t>
        </is>
      </c>
      <c r="B69" s="51" t="inlineStr">
        <is>
          <t>Test Equipment</t>
        </is>
      </c>
      <c r="C69" s="52" t="inlineStr">
        <is>
          <t>Lap timing system</t>
        </is>
      </c>
      <c r="D69" s="52" t="inlineStr">
        <is>
          <t>AiM / transponder-based timing beacons</t>
        </is>
      </c>
      <c r="E69" s="53" t="n">
        <v>1</v>
      </c>
      <c r="F69" s="54" t="n">
        <v>600</v>
      </c>
      <c r="G69" s="54">
        <f>E69*F69</f>
        <v/>
      </c>
      <c r="H69" s="51" t="inlineStr">
        <is>
          <t>Medium</t>
        </is>
      </c>
      <c r="I69" s="51" t="inlineStr">
        <is>
          <t>3-4 weeks</t>
        </is>
      </c>
      <c r="J69" s="51" t="inlineStr">
        <is>
          <t>Yes - AiM/MoTeC support FS teams</t>
        </is>
      </c>
      <c r="K69" s="52" t="inlineStr">
        <is>
          <t>Reuse the existing EV DAQ where possible.</t>
        </is>
      </c>
    </row>
    <row r="70">
      <c r="A70" s="51" t="inlineStr">
        <is>
          <t>DV-066</t>
        </is>
      </c>
      <c r="B70" s="51" t="inlineStr">
        <is>
          <t>Test Equipment</t>
        </is>
      </c>
      <c r="C70" s="52" t="inlineStr">
        <is>
          <t>Test-day site kit</t>
        </is>
      </c>
      <c r="D70" s="52" t="inlineStr">
        <is>
          <t>Pop-up canopy, generator/battery power, folding tables, tie-downs</t>
        </is>
      </c>
      <c r="E70" s="53" t="n">
        <v>1</v>
      </c>
      <c r="F70" s="54" t="n">
        <v>1200</v>
      </c>
      <c r="G70" s="54">
        <f>E70*F70</f>
        <v/>
      </c>
      <c r="H70" s="51" t="inlineStr">
        <is>
          <t>Medium</t>
        </is>
      </c>
      <c r="I70" s="51" t="inlineStr">
        <is>
          <t>2-3 weeks</t>
        </is>
      </c>
      <c r="J70" s="51" t="inlineStr">
        <is>
          <t>Possible</t>
        </is>
      </c>
      <c r="K70" s="52" t="inlineStr">
        <is>
          <t>You get a short Manitoba outdoor season - do not lose days to weather or lack of power.</t>
        </is>
      </c>
    </row>
    <row r="71">
      <c r="A71" s="51" t="inlineStr">
        <is>
          <t>DV-067</t>
        </is>
      </c>
      <c r="B71" s="51" t="inlineStr">
        <is>
          <t>Test Equipment</t>
        </is>
      </c>
      <c r="C71" s="52" t="inlineStr">
        <is>
          <t>Test-day toolbox + consumable spares</t>
        </is>
      </c>
      <c r="D71" s="52" t="inlineStr">
        <is>
          <t>Tools, fasteners, zip ties, tape, spare connectors, spare cones</t>
        </is>
      </c>
      <c r="E71" s="53" t="n">
        <v>1</v>
      </c>
      <c r="F71" s="54" t="n">
        <v>800</v>
      </c>
      <c r="G71" s="54">
        <f>E71*F71</f>
        <v/>
      </c>
      <c r="H71" s="51" t="inlineStr">
        <is>
          <t>High</t>
        </is>
      </c>
      <c r="I71" s="51" t="inlineStr">
        <is>
          <t>2-3 weeks</t>
        </is>
      </c>
      <c r="J71" s="51" t="inlineStr">
        <is>
          <t>Possible</t>
        </is>
      </c>
      <c r="K71" s="52" t="inlineStr">
        <is>
          <t>Stock spares of every connector and sensor cable on the car.</t>
        </is>
      </c>
    </row>
    <row r="72">
      <c r="A72" s="51" t="inlineStr">
        <is>
          <t>DV-068</t>
        </is>
      </c>
      <c r="B72" s="51" t="inlineStr">
        <is>
          <t>Simulation / HIL</t>
        </is>
      </c>
      <c r="C72" s="52" t="inlineStr">
        <is>
          <t>CI/CD runner machine</t>
        </is>
      </c>
      <c r="D72" s="52" t="inlineStr">
        <is>
          <t>Dedicated self-hosted runner for ROS2 build + regression suite</t>
        </is>
      </c>
      <c r="E72" s="53" t="n">
        <v>1</v>
      </c>
      <c r="F72" s="54" t="n">
        <v>1200</v>
      </c>
      <c r="G72" s="54">
        <f>E72*F72</f>
        <v/>
      </c>
      <c r="H72" s="51" t="inlineStr">
        <is>
          <t>High</t>
        </is>
      </c>
      <c r="I72" s="51" t="inlineStr">
        <is>
          <t>2-4 weeks</t>
        </is>
      </c>
      <c r="J72" s="51" t="inlineStr">
        <is>
          <t>No</t>
        </is>
      </c>
      <c r="K72" s="52" t="inlineStr">
        <is>
          <t>Tier 1: GitHub Actions free education minutes ($0). Testing responsibility #3 on the org chart.</t>
        </is>
      </c>
    </row>
    <row r="73">
      <c r="A73" s="51" t="inlineStr">
        <is>
          <t>DV-069</t>
        </is>
      </c>
      <c r="B73" s="51" t="inlineStr">
        <is>
          <t>Facilities / Admin</t>
        </is>
      </c>
      <c r="C73" s="52" t="inlineStr">
        <is>
          <t>Test site agreement + insurance</t>
        </is>
      </c>
      <c r="D73" s="52" t="inlineStr">
        <is>
          <t>Parking lot / kart track / decommissioned airfield use agreement and liability coverage</t>
        </is>
      </c>
      <c r="E73" s="53" t="n">
        <v>1</v>
      </c>
      <c r="F73" s="54" t="n">
        <v>1000</v>
      </c>
      <c r="G73" s="54">
        <f>E73*F73</f>
        <v/>
      </c>
      <c r="H73" s="55" t="inlineStr">
        <is>
          <t>Critical</t>
        </is>
      </c>
      <c r="I73" s="51" t="inlineStr">
        <is>
          <t>6-12 weeks</t>
        </is>
      </c>
      <c r="J73" s="51" t="inlineStr">
        <is>
          <t>Often free via the university</t>
        </is>
      </c>
      <c r="K73" s="52" t="inlineStr">
        <is>
          <t>Needs a written use agreement plus liability insurance - route through university risk management and your faculty advisor. You need 75m accel + shutdown, an 18.25m skidpad, and an autocross loop.</t>
        </is>
      </c>
    </row>
    <row r="74">
      <c r="A74" s="51" t="inlineStr">
        <is>
          <t>DV-070</t>
        </is>
      </c>
      <c r="B74" s="51" t="inlineStr">
        <is>
          <t>Facilities / Admin</t>
        </is>
      </c>
      <c r="C74" s="52" t="inlineStr">
        <is>
          <t>Indoor winter test space</t>
        </is>
      </c>
      <c r="D74" s="52" t="inlineStr">
        <is>
          <t>Gym / lab / hangar booking for RC-scale testing Nov-Apr</t>
        </is>
      </c>
      <c r="E74" s="53" t="n">
        <v>1</v>
      </c>
      <c r="F74" s="54" t="n">
        <v>500</v>
      </c>
      <c r="G74" s="54">
        <f>E74*F74</f>
        <v/>
      </c>
      <c r="H74" s="51" t="inlineStr">
        <is>
          <t>High</t>
        </is>
      </c>
      <c r="I74" s="51" t="inlineStr">
        <is>
          <t>Book 3-6 months ahead</t>
        </is>
      </c>
      <c r="J74" s="51" t="inlineStr">
        <is>
          <t>Often free via the university</t>
        </is>
      </c>
      <c r="K74" s="52" t="inlineStr">
        <is>
          <t>Winnipeg gives you roughly a 5-month outdoor blackout. Book indoor space early - this is the difference between a productive and a wasted winter.</t>
        </is>
      </c>
    </row>
    <row r="75">
      <c r="A75" s="51" t="inlineStr">
        <is>
          <t>DV-071</t>
        </is>
      </c>
      <c r="B75" s="51" t="inlineStr">
        <is>
          <t>Simulation / HIL</t>
        </is>
      </c>
      <c r="C75" s="52" t="inlineStr">
        <is>
          <t>Simulation stack</t>
        </is>
      </c>
      <c r="D75" s="52" t="inlineStr">
        <is>
          <t>FSDS (UE4+AirSim), FSSIM, EUFS Sim, CARLA, AWSIM, Gazebo</t>
        </is>
      </c>
      <c r="E75" s="53" t="n">
        <v>1</v>
      </c>
      <c r="F75" s="54" t="n">
        <v>0</v>
      </c>
      <c r="G75" s="54">
        <f>E75*F75</f>
        <v/>
      </c>
      <c r="H75" s="55" t="inlineStr">
        <is>
          <t>Critical</t>
        </is>
      </c>
      <c r="I75" s="51" t="inlineStr">
        <is>
          <t>Immediate</t>
        </is>
      </c>
      <c r="J75" s="51" t="inlineStr">
        <is>
          <t>Free / open source</t>
        </is>
      </c>
      <c r="K75" s="52" t="inlineStr">
        <is>
          <t>FSDS is the FS-specific standard (used for FS-Online 2020). FSSIM predicted gotthard's FSG 2018 trackdrive lap time to 1%. LGSVL/SVL is deprecated - do not start there.</t>
        </is>
      </c>
    </row>
    <row r="76">
      <c r="A76" s="51" t="inlineStr">
        <is>
          <t>DV-072</t>
        </is>
      </c>
      <c r="B76" s="51" t="inlineStr">
        <is>
          <t>Compute</t>
        </is>
      </c>
      <c r="C76" s="52" t="inlineStr">
        <is>
          <t>Simulation / visualisation workstation</t>
        </is>
      </c>
      <c r="D76" s="52" t="inlineStr">
        <is>
          <t>RTX 4070+ build, 32-64GB RAM, for UE4-class sim and data viz</t>
        </is>
      </c>
      <c r="E76" s="53" t="n">
        <v>1</v>
      </c>
      <c r="F76" s="54" t="n">
        <v>2200</v>
      </c>
      <c r="G76" s="54">
        <f>E76*F76</f>
        <v/>
      </c>
      <c r="H76" s="51" t="inlineStr">
        <is>
          <t>High</t>
        </is>
      </c>
      <c r="I76" s="51" t="inlineStr">
        <is>
          <t>2-4 weeks</t>
        </is>
      </c>
      <c r="J76" s="51" t="inlineStr">
        <is>
          <t>Yes - NVIDIA academic</t>
        </is>
      </c>
      <c r="K76" s="52" t="inlineStr">
        <is>
          <t>Tier 1: reuse existing lab PCs ($0). FSDS is UE4-based and needs a real GPU.</t>
        </is>
      </c>
    </row>
    <row r="77">
      <c r="A77" s="51" t="inlineStr">
        <is>
          <t>DV-073</t>
        </is>
      </c>
      <c r="B77" s="51" t="inlineStr">
        <is>
          <t>Data / Storage</t>
        </is>
      </c>
      <c r="C77" s="52" t="inlineStr">
        <is>
          <t>Test data storage</t>
        </is>
      </c>
      <c r="D77" s="52" t="inlineStr">
        <is>
          <t>2x 4TB external USB SSD/HDD for test-day offload</t>
        </is>
      </c>
      <c r="E77" s="53" t="n">
        <v>2</v>
      </c>
      <c r="F77" s="54" t="n">
        <v>150</v>
      </c>
      <c r="G77" s="54">
        <f>E77*F77</f>
        <v/>
      </c>
      <c r="H77" s="55" t="inlineStr">
        <is>
          <t>Critical</t>
        </is>
      </c>
      <c r="I77" s="51" t="inlineStr">
        <is>
          <t>1-2 weeks</t>
        </is>
      </c>
      <c r="J77" s="51" t="inlineStr">
        <is>
          <t>No</t>
        </is>
      </c>
      <c r="K77" s="52" t="inlineStr">
        <is>
          <t>Storage architecture and data integrity are Sim responsibilities #2. Expect 1-2TB per full test day.</t>
        </is>
      </c>
    </row>
    <row r="78">
      <c r="A78" s="51" t="inlineStr">
        <is>
          <t>DV-074</t>
        </is>
      </c>
      <c r="B78" s="51" t="inlineStr">
        <is>
          <t>Data / Storage</t>
        </is>
      </c>
      <c r="C78" s="52" t="inlineStr">
        <is>
          <t>Portable test-day SSDs</t>
        </is>
      </c>
      <c r="D78" s="52" t="inlineStr">
        <is>
          <t>2x 2TB rugged portable SSD for track-to-NAS transfer</t>
        </is>
      </c>
      <c r="E78" s="53" t="n">
        <v>2</v>
      </c>
      <c r="F78" s="54" t="n">
        <v>150</v>
      </c>
      <c r="G78" s="54">
        <f>E78*F78</f>
        <v/>
      </c>
      <c r="H78" s="51" t="inlineStr">
        <is>
          <t>High</t>
        </is>
      </c>
      <c r="I78" s="51" t="inlineStr">
        <is>
          <t>1-2 weeks</t>
        </is>
      </c>
      <c r="J78" s="51" t="inlineStr">
        <is>
          <t>No</t>
        </is>
      </c>
      <c r="K78" s="52" t="inlineStr">
        <is>
          <t>Offload at the track, not the next morning.</t>
        </is>
      </c>
    </row>
    <row r="79">
      <c r="A79" s="51" t="inlineStr">
        <is>
          <t>DV-075</t>
        </is>
      </c>
      <c r="B79" s="51" t="inlineStr">
        <is>
          <t>Software / License</t>
        </is>
      </c>
      <c r="C79" s="52" t="inlineStr">
        <is>
          <t>Visualisation and log tooling</t>
        </is>
      </c>
      <c r="D79" s="52" t="inlineStr">
        <is>
          <t>Foxglove Studio, PlotJuggler, rerun.io, MCAP tooling</t>
        </is>
      </c>
      <c r="E79" s="53" t="n">
        <v>1</v>
      </c>
      <c r="F79" s="54" t="n">
        <v>0</v>
      </c>
      <c r="G79" s="54">
        <f>E79*F79</f>
        <v/>
      </c>
      <c r="H79" s="51" t="inlineStr">
        <is>
          <t>High</t>
        </is>
      </c>
      <c r="I79" s="51" t="inlineStr">
        <is>
          <t>Immediate</t>
        </is>
      </c>
      <c r="J79" s="51" t="inlineStr">
        <is>
          <t>Free tiers</t>
        </is>
      </c>
      <c r="K79" s="52" t="inlineStr">
        <is>
          <t>Foxglove has a free tier; the paid team tier is optional. MCAP is the modern rosbag format.</t>
        </is>
      </c>
    </row>
    <row r="80">
      <c r="A80" s="51" t="inlineStr">
        <is>
          <t>DV-076</t>
        </is>
      </c>
      <c r="B80" s="51" t="inlineStr">
        <is>
          <t>Software / License</t>
        </is>
      </c>
      <c r="C80" s="52" t="inlineStr">
        <is>
          <t>Labelling platform</t>
        </is>
      </c>
      <c r="D80" s="52" t="inlineStr">
        <is>
          <t>CVAT (self-hosted, free) or Roboflow paid tier</t>
        </is>
      </c>
      <c r="E80" s="53" t="n">
        <v>1</v>
      </c>
      <c r="F80" s="54" t="n">
        <v>250</v>
      </c>
      <c r="G80" s="54">
        <f>E80*F80</f>
        <v/>
      </c>
      <c r="H80" s="51" t="inlineStr">
        <is>
          <t>Medium</t>
        </is>
      </c>
      <c r="I80" s="51" t="inlineStr">
        <is>
          <t>1 week</t>
        </is>
      </c>
      <c r="J80" s="51" t="inlineStr">
        <is>
          <t>Possible</t>
        </is>
      </c>
      <c r="K80" s="52" t="inlineStr">
        <is>
          <t>Sim responsibility #6 (multi-modal labelling). Self-hosted CVAT is $0 if you have a spare machine.</t>
        </is>
      </c>
    </row>
    <row r="81">
      <c r="A81" s="51" t="inlineStr">
        <is>
          <t>DV-077</t>
        </is>
      </c>
      <c r="B81" s="51" t="inlineStr">
        <is>
          <t>Software / License</t>
        </is>
      </c>
      <c r="C81" s="52" t="inlineStr">
        <is>
          <t>Commercial simulation (sponsorship route)</t>
        </is>
      </c>
      <c r="D81" s="52" t="inlineStr">
        <is>
          <t>IPG CarMaker, Ansys AVxcelerate, dSPACE ASM, MATLAB RoadRunner</t>
        </is>
      </c>
      <c r="E81" s="53" t="n">
        <v>1</v>
      </c>
      <c r="F81" s="54" t="n">
        <v>0</v>
      </c>
      <c r="G81" s="54">
        <f>E81*F81</f>
        <v/>
      </c>
      <c r="H81" s="51" t="inlineStr">
        <is>
          <t>Medium</t>
        </is>
      </c>
      <c r="I81" s="51" t="inlineStr">
        <is>
          <t>8-12 weeks</t>
        </is>
      </c>
      <c r="J81" s="51" t="inlineStr">
        <is>
          <t>YES - all four run student/FS programmes</t>
        </is>
      </c>
      <c r="K81" s="52" t="inlineStr">
        <is>
          <t>RoadRunner is free for education. CarMaker/AVxcelerate/dSPACE are five-figure licences that FS teams routinely get sponsored - apply, do not budget cash.</t>
        </is>
      </c>
    </row>
    <row r="82">
      <c r="A82" s="51" t="inlineStr">
        <is>
          <t>DV-078</t>
        </is>
      </c>
      <c r="B82" s="51" t="inlineStr">
        <is>
          <t>Test Equipment</t>
        </is>
      </c>
      <c r="C82" s="52" t="inlineStr">
        <is>
          <t>Driver-in-the-loop input rig</t>
        </is>
      </c>
      <c r="D82" s="52" t="inlineStr">
        <is>
          <t>Force-feedback wheel + pedals for human-baseline comparison runs</t>
        </is>
      </c>
      <c r="E82" s="53" t="n">
        <v>1</v>
      </c>
      <c r="F82" s="54" t="n">
        <v>400</v>
      </c>
      <c r="G82" s="54">
        <f>E82*F82</f>
        <v/>
      </c>
      <c r="H82" s="51" t="inlineStr">
        <is>
          <t>Low</t>
        </is>
      </c>
      <c r="I82" s="51" t="inlineStr">
        <is>
          <t>2-3 weeks</t>
        </is>
      </c>
      <c r="J82" s="51" t="inlineStr">
        <is>
          <t>No</t>
        </is>
      </c>
      <c r="K82" s="52" t="inlineStr">
        <is>
          <t>Nice-to-have for benchmarking the autonomous line against a human reference.</t>
        </is>
      </c>
    </row>
    <row r="83">
      <c r="A83" s="51" t="inlineStr">
        <is>
          <t>DV-079</t>
        </is>
      </c>
      <c r="B83" s="51" t="inlineStr">
        <is>
          <t>Web / Comms</t>
        </is>
      </c>
      <c r="C83" s="52" t="inlineStr">
        <is>
          <t>Domain name</t>
        </is>
      </c>
      <c r="D83" s="52" t="inlineStr">
        <is>
          <t>Team/DV subdomain registration, annual</t>
        </is>
      </c>
      <c r="E83" s="53" t="n">
        <v>1</v>
      </c>
      <c r="F83" s="54" t="n">
        <v>20</v>
      </c>
      <c r="G83" s="54">
        <f>E83*F83</f>
        <v/>
      </c>
      <c r="H83" s="51" t="inlineStr">
        <is>
          <t>Medium</t>
        </is>
      </c>
      <c r="I83" s="51" t="inlineStr">
        <is>
          <t>Immediate</t>
        </is>
      </c>
      <c r="J83" s="51" t="inlineStr">
        <is>
          <t>Possible (university subdomain is free)</t>
        </is>
      </c>
      <c r="K83" s="52" t="inlineStr">
        <is>
          <t>Ask the university for a subdomain first - often free and more credible to sponsors.</t>
        </is>
      </c>
    </row>
    <row r="84">
      <c r="A84" s="51" t="inlineStr">
        <is>
          <t>DV-080</t>
        </is>
      </c>
      <c r="B84" s="51" t="inlineStr">
        <is>
          <t>Web / Comms</t>
        </is>
      </c>
      <c r="C84" s="52" t="inlineStr">
        <is>
          <t>Hosting + docs platform</t>
        </is>
      </c>
      <c r="D84" s="52" t="inlineStr">
        <is>
          <t>GitHub Pages / Netlify / Vercel free tier + Docusaurus or MkDocs</t>
        </is>
      </c>
      <c r="E84" s="53" t="n">
        <v>1</v>
      </c>
      <c r="F84" s="54" t="n">
        <v>0</v>
      </c>
      <c r="G84" s="54">
        <f>E84*F84</f>
        <v/>
      </c>
      <c r="H84" s="51" t="inlineStr">
        <is>
          <t>Medium</t>
        </is>
      </c>
      <c r="I84" s="51" t="inlineStr">
        <is>
          <t>Immediate</t>
        </is>
      </c>
      <c r="J84" s="51" t="inlineStr">
        <is>
          <t>Free tiers</t>
        </is>
      </c>
      <c r="K84" s="52" t="inlineStr">
        <is>
          <t>Docs-as-code in the same repo keeps documentation in sync with the version-control strategy.</t>
        </is>
      </c>
    </row>
    <row r="85">
      <c r="A85" s="51" t="inlineStr">
        <is>
          <t>DV-081</t>
        </is>
      </c>
      <c r="B85" s="51" t="inlineStr">
        <is>
          <t>Web / Comms</t>
        </is>
      </c>
      <c r="C85" s="52" t="inlineStr">
        <is>
          <t>Design assets</t>
        </is>
      </c>
      <c r="D85" s="52" t="inlineStr">
        <is>
          <t>Icon/font licences, sponsor-facing brand assets</t>
        </is>
      </c>
      <c r="E85" s="53" t="n">
        <v>1</v>
      </c>
      <c r="F85" s="54" t="n">
        <v>100</v>
      </c>
      <c r="G85" s="54">
        <f>E85*F85</f>
        <v/>
      </c>
      <c r="H85" s="51" t="inlineStr">
        <is>
          <t>Low</t>
        </is>
      </c>
      <c r="I85" s="51" t="inlineStr">
        <is>
          <t>1 week</t>
        </is>
      </c>
      <c r="J85" s="51" t="inlineStr">
        <is>
          <t>Possible</t>
        </is>
      </c>
      <c r="K85" s="52" t="inlineStr">
        <is>
          <t>A credible public site materially helps sponsorship conversations.</t>
        </is>
      </c>
    </row>
    <row r="86">
      <c r="A86" s="56" t="n"/>
      <c r="B86" s="56" t="n"/>
      <c r="C86" s="46" t="inlineStr">
        <is>
          <t>TOTAL</t>
        </is>
      </c>
      <c r="D86" s="56" t="n"/>
      <c r="E86" s="56" t="n"/>
      <c r="F86" s="56" t="n"/>
      <c r="G86" s="47">
        <f>SUM(G5:G85)</f>
        <v/>
      </c>
      <c r="H86" s="56" t="n"/>
      <c r="I86" s="56" t="n"/>
      <c r="J86" s="56" t="n"/>
      <c r="K86" s="56" t="n"/>
    </row>
  </sheetData>
  <autoFilter ref="A4:K85"/>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8"/>
  <sheetViews>
    <sheetView tabSelected="1" zoomScale="142" zoomScaleNormal="100" workbookViewId="0">
      <pane xSplit="3" ySplit="3" topLeftCell="D4" activePane="bottomRight" state="frozen"/>
      <selection pane="topRight" activeCell="D1" sqref="D1"/>
      <selection pane="bottomLeft" activeCell="A4" sqref="A4"/>
      <selection pane="bottomRight" activeCell="D113" sqref="D113"/>
    </sheetView>
  </sheetViews>
  <sheetFormatPr baseColWidth="10" defaultColWidth="8.6640625" defaultRowHeight="15"/>
  <cols>
    <col width="9" customWidth="1" min="1" max="1"/>
    <col width="30" customWidth="1" min="2" max="2"/>
    <col width="22" customWidth="1" min="3" max="3"/>
    <col width="32" customWidth="1" min="4" max="4"/>
    <col width="46" customWidth="1" min="5" max="5"/>
    <col width="6" customWidth="1" min="6" max="6"/>
    <col width="13" customWidth="1" min="7" max="8"/>
    <col width="6" customWidth="1" min="9" max="11"/>
    <col width="13" customWidth="1" min="12" max="14"/>
    <col width="11" customWidth="1" min="15" max="15"/>
    <col width="16" customWidth="1" min="16" max="16"/>
    <col width="30" customWidth="1" min="17" max="17"/>
    <col width="22" customWidth="1" min="18" max="18"/>
    <col width="78" customWidth="1" min="19" max="19"/>
  </cols>
  <sheetData>
    <row r="1" ht="18" customHeight="1">
      <c r="A1" s="9" t="inlineStr">
        <is>
          <t>MASTER BOM — FSAE Driverless Program Stand-Up</t>
        </is>
      </c>
    </row>
    <row r="2">
      <c r="A2" s="10" t="inlineStr">
        <is>
          <t>Single source of truth. Every other sheet references these rows. Tier flags: 1 = buy this item at that funding tier, 0 = do not. Costs are engineered estimates in USD from the research report — verify with a live quote before ordering.</t>
        </is>
      </c>
    </row>
    <row r="3" ht="31.5" customHeight="1">
      <c r="A3" s="11" t="inlineStr">
        <is>
          <t>ID</t>
        </is>
      </c>
      <c r="B3" s="11" t="inlineStr">
        <is>
          <t>Role Owner (per org chart)</t>
        </is>
      </c>
      <c r="C3" s="11" t="inlineStr">
        <is>
          <t>Category</t>
        </is>
      </c>
      <c r="D3" s="11" t="inlineStr">
        <is>
          <t>Item / Purpose</t>
        </is>
      </c>
      <c r="E3" s="11" t="inlineStr">
        <is>
          <t>Recommended Model / Spec</t>
        </is>
      </c>
      <c r="F3" s="11" t="inlineStr">
        <is>
          <t>Qty</t>
        </is>
      </c>
      <c r="G3" s="11" t="inlineStr">
        <is>
          <t>Unit Cost (USD)</t>
        </is>
      </c>
      <c r="H3" s="11" t="inlineStr">
        <is>
          <t>Ext. Cost (USD)</t>
        </is>
      </c>
      <c r="I3" s="11" t="inlineStr">
        <is>
          <t>T1?</t>
        </is>
      </c>
      <c r="J3" s="11" t="inlineStr">
        <is>
          <t>T2?</t>
        </is>
      </c>
      <c r="K3" s="11" t="inlineStr">
        <is>
          <t>T3?</t>
        </is>
      </c>
      <c r="L3" s="11" t="inlineStr">
        <is>
          <t>Tier 1 ($)</t>
        </is>
      </c>
      <c r="M3" s="11" t="inlineStr">
        <is>
          <t>Tier 2 ($)</t>
        </is>
      </c>
      <c r="N3" s="11" t="inlineStr">
        <is>
          <t>Tier 3 ($)</t>
        </is>
      </c>
      <c r="O3" s="11" t="inlineStr">
        <is>
          <t>Priority</t>
        </is>
      </c>
      <c r="P3" s="11" t="inlineStr">
        <is>
          <t>Lead Time</t>
        </is>
      </c>
      <c r="Q3" s="11" t="inlineStr">
        <is>
          <t>Sponsorable?</t>
        </is>
      </c>
      <c r="R3" s="11" t="inlineStr">
        <is>
          <t>Rules Ref</t>
        </is>
      </c>
      <c r="S3" s="11" t="inlineStr">
        <is>
          <t>Notes / Rationale</t>
        </is>
      </c>
    </row>
    <row r="4" ht="28" customHeight="1">
      <c r="A4" s="12" t="inlineStr">
        <is>
          <t>DV-001</t>
        </is>
      </c>
      <c r="B4" s="12" t="inlineStr">
        <is>
          <t>DSO — Caleb</t>
        </is>
      </c>
      <c r="C4" s="12" t="inlineStr">
        <is>
          <t>Safety / Rules Hardware</t>
        </is>
      </c>
      <c r="D4" s="13" t="inlineStr">
        <is>
          <t>Remote Emergency System (RES) — European events</t>
        </is>
      </c>
      <c r="E4" s="13" t="inlineStr">
        <is>
          <t>Gross-Funk GF2000i-codec + T53R98, 2022 hw rev with E-Key</t>
        </is>
      </c>
      <c r="F4" s="14" t="n">
        <v>1</v>
      </c>
      <c r="G4" s="15" t="n">
        <v>2000</v>
      </c>
      <c r="H4" s="16">
        <f>F4*G4</f>
        <v/>
      </c>
      <c r="I4" s="14" t="n">
        <v>1</v>
      </c>
      <c r="J4" s="14" t="n">
        <v>1</v>
      </c>
      <c r="K4" s="14" t="n">
        <v>1</v>
      </c>
      <c r="L4" s="16">
        <f>$H4*I4</f>
        <v/>
      </c>
      <c r="M4" s="16">
        <f>$H4*J4</f>
        <v/>
      </c>
      <c r="N4" s="16">
        <f>$H4*K4</f>
        <v/>
      </c>
      <c r="O4" s="17" t="inlineStr">
        <is>
          <t>Critical</t>
        </is>
      </c>
      <c r="P4" s="12" t="inlineStr">
        <is>
          <t>6-10 weeks</t>
        </is>
      </c>
      <c r="Q4" s="12" t="inlineStr">
        <is>
          <t>Possible (Ferchau sponsored Racetech's)</t>
        </is>
      </c>
      <c r="R4" s="12" t="inlineStr">
        <is>
          <t>FSG DS 3.1</t>
        </is>
      </c>
      <c r="S4" s="13" t="inlineStr">
        <is>
          <t>ORDER FIRST — longest lead item. Contact christian.keller@grossfunk.de / fsg.one/res. SIL3, CANopen Node-ID 0x011, 430-440 MHz.</t>
        </is>
      </c>
    </row>
    <row r="5" ht="28" customHeight="1">
      <c r="A5" s="12" t="inlineStr">
        <is>
          <t>DV-002</t>
        </is>
      </c>
      <c r="B5" s="12" t="inlineStr">
        <is>
          <t>DSO — Caleb</t>
        </is>
      </c>
      <c r="C5" s="12" t="inlineStr">
        <is>
          <t>Safety / Rules Hardware</t>
        </is>
      </c>
      <c r="D5" s="13" t="inlineStr">
        <is>
          <t>Remote Stop System — FSAE North America</t>
        </is>
      </c>
      <c r="E5" s="13" t="inlineStr">
        <is>
          <t>FSAE Remote Stop: Vehicle Module + Control Box + Remote Stop Relay</t>
        </is>
      </c>
      <c r="F5" s="14" t="n">
        <v>1</v>
      </c>
      <c r="G5" s="15" t="n">
        <v>500</v>
      </c>
      <c r="H5" s="16">
        <f>F5*G5</f>
        <v/>
      </c>
      <c r="I5" s="14" t="n">
        <v>1</v>
      </c>
      <c r="J5" s="14" t="n">
        <v>1</v>
      </c>
      <c r="K5" s="14" t="n">
        <v>1</v>
      </c>
      <c r="L5" s="16">
        <f>$H5*I5</f>
        <v/>
      </c>
      <c r="M5" s="16">
        <f>$H5*J5</f>
        <v/>
      </c>
      <c r="N5" s="16">
        <f>$H5*K5</f>
        <v/>
      </c>
      <c r="O5" s="17" t="inlineStr">
        <is>
          <t>Critical</t>
        </is>
      </c>
      <c r="P5" s="12" t="inlineStr">
        <is>
          <t>4-8 weeks</t>
        </is>
      </c>
      <c r="Q5" s="12" t="inlineStr">
        <is>
          <t>No</t>
        </is>
      </c>
      <c r="R5" s="12" t="inlineStr">
        <is>
          <t>FSAE DV Supplement</t>
        </is>
      </c>
      <c r="S5" s="13" t="inlineStr">
        <is>
          <t>NA uses its own standard, NOT the Gross-Funk unit. Design the shutdown circuit so either RES drops in.</t>
        </is>
      </c>
    </row>
    <row r="6" ht="28" customHeight="1">
      <c r="A6" s="12" t="inlineStr">
        <is>
          <t>DV-003</t>
        </is>
      </c>
      <c r="B6" s="12" t="inlineStr">
        <is>
          <t>DSO — Caleb</t>
        </is>
      </c>
      <c r="C6" s="12" t="inlineStr">
        <is>
          <t>Safety / Rules Hardware</t>
        </is>
      </c>
      <c r="D6" s="13" t="inlineStr">
        <is>
          <t>ASSI / DSSI status indicator lights</t>
        </is>
      </c>
      <c r="E6" s="13" t="inlineStr">
        <is>
          <t>3x amber+blue LED panels, black background, &gt;=15 cm2 shining area, LEDs &lt;=20mm apart</t>
        </is>
      </c>
      <c r="F6" s="14" t="n">
        <v>3</v>
      </c>
      <c r="G6" s="15" t="n">
        <v>85</v>
      </c>
      <c r="H6" s="16">
        <f>F6*G6</f>
        <v/>
      </c>
      <c r="I6" s="14" t="n">
        <v>1</v>
      </c>
      <c r="J6" s="14" t="n">
        <v>1</v>
      </c>
      <c r="K6" s="14" t="n">
        <v>1</v>
      </c>
      <c r="L6" s="16">
        <f>$H6*I6</f>
        <v/>
      </c>
      <c r="M6" s="16">
        <f>$H6*J6</f>
        <v/>
      </c>
      <c r="N6" s="16">
        <f>$H6*K6</f>
        <v/>
      </c>
      <c r="O6" s="17" t="inlineStr">
        <is>
          <t>Critical</t>
        </is>
      </c>
      <c r="P6" s="12" t="inlineStr">
        <is>
          <t>2-3 weeks</t>
        </is>
      </c>
      <c r="Q6" s="12" t="inlineStr">
        <is>
          <t>No</t>
        </is>
      </c>
      <c r="R6" s="12" t="inlineStr">
        <is>
          <t>FSAE DV; FSG DS</t>
        </is>
      </c>
      <c r="S6" s="13" t="inlineStr">
        <is>
          <t>States: Off=off, Ready=yellow steady, Driving=yellow flashing, Finished=blue steady, Emergency=blue flashing. Both sides behind cockpit + rear centreline.</t>
        </is>
      </c>
    </row>
    <row r="7" ht="28" customHeight="1">
      <c r="A7" s="12" t="inlineStr">
        <is>
          <t>DV-004</t>
        </is>
      </c>
      <c r="B7" s="12" t="inlineStr">
        <is>
          <t>DSO — Caleb</t>
        </is>
      </c>
      <c r="C7" s="12" t="inlineStr">
        <is>
          <t>Safety / Rules Hardware</t>
        </is>
      </c>
      <c r="D7" s="13" t="inlineStr">
        <is>
          <t>Driverless alert sound device</t>
        </is>
      </c>
      <c r="E7" s="13" t="inlineStr">
        <is>
          <t>Automotive buzzer, 80-90 dBA, 1-5 Hz at 50% duty, 8-10 s</t>
        </is>
      </c>
      <c r="F7" s="14" t="n">
        <v>1</v>
      </c>
      <c r="G7" s="15" t="n">
        <v>60</v>
      </c>
      <c r="H7" s="16">
        <f>F7*G7</f>
        <v/>
      </c>
      <c r="I7" s="14" t="n">
        <v>1</v>
      </c>
      <c r="J7" s="14" t="n">
        <v>1</v>
      </c>
      <c r="K7" s="14" t="n">
        <v>1</v>
      </c>
      <c r="L7" s="16">
        <f>$H7*I7</f>
        <v/>
      </c>
      <c r="M7" s="16">
        <f>$H7*J7</f>
        <v/>
      </c>
      <c r="N7" s="16">
        <f>$H7*K7</f>
        <v/>
      </c>
      <c r="O7" s="17" t="inlineStr">
        <is>
          <t>Critical</t>
        </is>
      </c>
      <c r="P7" s="12" t="inlineStr">
        <is>
          <t>1-2 weeks</t>
        </is>
      </c>
      <c r="Q7" s="12" t="inlineStr">
        <is>
          <t>No</t>
        </is>
      </c>
      <c r="R7" s="12" t="inlineStr">
        <is>
          <t>FSAE DV; FSG DS</t>
        </is>
      </c>
      <c r="S7" s="13" t="inlineStr">
        <is>
          <t>Sounds on Emergency state. Verify dBA at the rules-specified measurement distance.</t>
        </is>
      </c>
    </row>
    <row r="8" ht="28" customHeight="1">
      <c r="A8" s="12" t="inlineStr">
        <is>
          <t>DV-005</t>
        </is>
      </c>
      <c r="B8" s="12" t="inlineStr">
        <is>
          <t>DSO — Caleb</t>
        </is>
      </c>
      <c r="C8" s="12" t="inlineStr">
        <is>
          <t>Safety / Rules Hardware</t>
        </is>
      </c>
      <c r="D8" s="13" t="inlineStr">
        <is>
          <t>Autonomous Mission Indicator (AMI) display</t>
        </is>
      </c>
      <c r="E8" s="13" t="inlineStr">
        <is>
          <t>Small dash display / LED set showing selected mission</t>
        </is>
      </c>
      <c r="F8" s="14" t="n">
        <v>1</v>
      </c>
      <c r="G8" s="15" t="n">
        <v>80</v>
      </c>
      <c r="H8" s="16">
        <f>F8*G8</f>
        <v/>
      </c>
      <c r="I8" s="14" t="n">
        <v>1</v>
      </c>
      <c r="J8" s="14" t="n">
        <v>1</v>
      </c>
      <c r="K8" s="14" t="n">
        <v>1</v>
      </c>
      <c r="L8" s="16" t="n"/>
      <c r="M8" s="16" t="n"/>
      <c r="N8" s="16" t="n"/>
      <c r="O8" s="17" t="inlineStr">
        <is>
          <t>Critical</t>
        </is>
      </c>
      <c r="P8" s="12" t="inlineStr">
        <is>
          <t>1-2 weeks</t>
        </is>
      </c>
      <c r="Q8" s="12" t="inlineStr">
        <is>
          <t>No</t>
        </is>
      </c>
      <c r="R8" s="12" t="inlineStr">
        <is>
          <t>FSAE DV; FSG DS</t>
        </is>
      </c>
      <c r="S8" s="13" t="inlineStr">
        <is>
          <t>Missions: acceleration, skidpad, trackdrive, braketest, inspection, autocross. Mount near dash/ASMS.</t>
        </is>
      </c>
    </row>
    <row r="9" ht="28" customHeight="1">
      <c r="A9" s="12" t="inlineStr">
        <is>
          <t>DV-006</t>
        </is>
      </c>
      <c r="B9" s="12" t="inlineStr">
        <is>
          <t>DSO — Caleb</t>
        </is>
      </c>
      <c r="C9" s="12" t="inlineStr">
        <is>
          <t>Safety / Rules Hardware</t>
        </is>
      </c>
      <c r="D9" s="13" t="inlineStr">
        <is>
          <t>ASMS / DSMS master switch</t>
        </is>
      </c>
      <c r="E9" s="13" t="inlineStr">
        <is>
          <t>Direct-acting rotary switch, blue circular area &gt;=50mm, labelled 'DS', lockout/tagout capable</t>
        </is>
      </c>
      <c r="F9" s="14" t="n">
        <v>1</v>
      </c>
      <c r="G9" s="15" t="n">
        <v>120</v>
      </c>
      <c r="H9" s="16">
        <f>F9*G9</f>
        <v/>
      </c>
      <c r="I9" s="14" t="n">
        <v>1</v>
      </c>
      <c r="J9" s="14" t="n">
        <v>1</v>
      </c>
      <c r="K9" s="14" t="n">
        <v>1</v>
      </c>
      <c r="L9" s="36" t="inlineStr">
        <is>
          <t>ADDED TO STICKER COST</t>
        </is>
      </c>
      <c r="M9" s="16" t="n"/>
      <c r="N9" s="16" t="n"/>
      <c r="O9" s="17" t="inlineStr">
        <is>
          <t>Critical</t>
        </is>
      </c>
      <c r="P9" s="12" t="inlineStr">
        <is>
          <t>2 weeks</t>
        </is>
      </c>
      <c r="Q9" s="12" t="inlineStr">
        <is>
          <t>No</t>
        </is>
      </c>
      <c r="R9" s="12" t="inlineStr">
        <is>
          <t>FSAE DV; FSG DS</t>
        </is>
      </c>
      <c r="S9" s="13" t="inlineStr">
        <is>
          <t>Must be direct-acting (not via relay/logic). When OFF the car must remain normally drivable and pushable.</t>
        </is>
      </c>
    </row>
    <row r="10" ht="28" customHeight="1">
      <c r="A10" s="12" t="inlineStr">
        <is>
          <t>DV-007</t>
        </is>
      </c>
      <c r="B10" s="12" t="inlineStr">
        <is>
          <t>DSO — Caleb</t>
        </is>
      </c>
      <c r="C10" s="12" t="inlineStr">
        <is>
          <t>Safety / Rules Hardware</t>
        </is>
      </c>
      <c r="D10" s="13" t="inlineStr">
        <is>
          <t>DV shutdown-circuit relay set</t>
        </is>
      </c>
      <c r="E10" s="13" t="inlineStr">
        <is>
          <t>Driverless System Relay (NO permissive) + Remote Stop Relay + NC bypass relay + EBS Relay (fail-open)</t>
        </is>
      </c>
      <c r="F10" s="14" t="n">
        <v>1</v>
      </c>
      <c r="G10" s="15" t="n">
        <v>300</v>
      </c>
      <c r="H10" s="16">
        <f>F10*G10</f>
        <v/>
      </c>
      <c r="I10" s="14" t="n">
        <v>1</v>
      </c>
      <c r="J10" s="14" t="n">
        <v>1</v>
      </c>
      <c r="K10" s="14" t="n">
        <v>1</v>
      </c>
      <c r="L10" s="16">
        <f>$H10*I10</f>
        <v/>
      </c>
      <c r="M10" s="16">
        <f>$H10*J10</f>
        <v/>
      </c>
      <c r="N10" s="16">
        <f>$H10*K10</f>
        <v/>
      </c>
      <c r="O10" s="17" t="inlineStr">
        <is>
          <t>Critical</t>
        </is>
      </c>
      <c r="P10" s="12" t="inlineStr">
        <is>
          <t>2-3 weeks</t>
        </is>
      </c>
      <c r="Q10" s="12" t="inlineStr">
        <is>
          <t>No</t>
        </is>
      </c>
      <c r="R10" s="12" t="inlineStr">
        <is>
          <t>FSAE DV; FSG DS</t>
        </is>
      </c>
      <c r="S10" s="13" t="inlineStr">
        <is>
          <t>Automotive-rated relays; document the schematic for scrutineering.</t>
        </is>
      </c>
    </row>
    <row r="11" ht="28" customHeight="1">
      <c r="A11" s="12" t="inlineStr">
        <is>
          <t>DV-008</t>
        </is>
      </c>
      <c r="B11" s="12" t="inlineStr">
        <is>
          <t>DSO — Caleb</t>
        </is>
      </c>
      <c r="C11" s="12" t="inlineStr">
        <is>
          <t>Safety / Rules Hardware</t>
        </is>
      </c>
      <c r="D11" s="13" t="inlineStr">
        <is>
          <t>DV livery, signage and required markings</t>
        </is>
      </c>
      <c r="E11" s="13" t="inlineStr">
        <is>
          <t>Vinyl decals, 'Brake Release' labels, DV class markings</t>
        </is>
      </c>
      <c r="F11" s="14" t="n">
        <v>1</v>
      </c>
      <c r="G11" s="15" t="n">
        <v>150</v>
      </c>
      <c r="H11" s="16">
        <f>F11*G11</f>
        <v/>
      </c>
      <c r="I11" s="14" t="n">
        <v>1</v>
      </c>
      <c r="J11" s="14" t="n">
        <v>1</v>
      </c>
      <c r="K11" s="14" t="n">
        <v>1</v>
      </c>
      <c r="L11" s="36" t="inlineStr">
        <is>
          <t>ADDED TO STICKER COST</t>
        </is>
      </c>
      <c r="M11" s="16" t="n"/>
      <c r="N11" s="16" t="n"/>
      <c r="O11" s="12" t="inlineStr">
        <is>
          <t>High</t>
        </is>
      </c>
      <c r="P11" s="12" t="inlineStr">
        <is>
          <t>1-2 weeks</t>
        </is>
      </c>
      <c r="Q11" s="12" t="inlineStr">
        <is>
          <t>Likely (local print shop)</t>
        </is>
      </c>
      <c r="R11" s="12" t="inlineStr">
        <is>
          <t>FSAE DV; FSG DS</t>
        </is>
      </c>
      <c r="S11" s="13" t="inlineStr">
        <is>
          <t>Check the current-year rulebook for exact wording and placement.</t>
        </is>
      </c>
    </row>
    <row r="12" ht="28" customHeight="1">
      <c r="A12" s="12" t="inlineStr">
        <is>
          <t>DV-009</t>
        </is>
      </c>
      <c r="B12" s="12" t="inlineStr">
        <is>
          <t>DSO — Caleb</t>
        </is>
      </c>
      <c r="C12" s="12" t="inlineStr">
        <is>
          <t>Software / License</t>
        </is>
      </c>
      <c r="D12" s="13" t="inlineStr">
        <is>
          <t>Rulebook + standards library</t>
        </is>
      </c>
      <c r="E12" s="13" t="inlineStr">
        <is>
          <t>ISO 26262 and ISO 21448 (SOTIF) - purchase or university library access</t>
        </is>
      </c>
      <c r="F12" s="14" t="n">
        <v>1</v>
      </c>
      <c r="G12" s="15" t="n">
        <v>0</v>
      </c>
      <c r="H12" s="16">
        <f>F12*G12</f>
        <v/>
      </c>
      <c r="I12" s="14" t="n">
        <v>1</v>
      </c>
      <c r="J12" s="14" t="n">
        <v>1</v>
      </c>
      <c r="K12" s="14" t="n">
        <v>1</v>
      </c>
      <c r="L12" s="16">
        <f>$H12*I12</f>
        <v/>
      </c>
      <c r="M12" s="16">
        <f>$H12*J12</f>
        <v/>
      </c>
      <c r="N12" s="16">
        <f>$H12*K12</f>
        <v/>
      </c>
      <c r="O12" s="12" t="inlineStr">
        <is>
          <t>High</t>
        </is>
      </c>
      <c r="P12" s="12" t="inlineStr">
        <is>
          <t>1 week</t>
        </is>
      </c>
      <c r="Q12" s="12" t="inlineStr">
        <is>
          <t>n/a</t>
        </is>
      </c>
      <c r="R12" s="12" t="inlineStr">
        <is>
          <t>Design event</t>
        </is>
      </c>
      <c r="S12" s="13" t="inlineStr">
        <is>
          <t>ISO copies are expensive (~US$200-2,000/part). CHECK THE UNIVERSITY LIBRARY FIRST — usually free access.</t>
        </is>
      </c>
    </row>
    <row r="13" ht="28" customHeight="1">
      <c r="A13" s="12" t="inlineStr">
        <is>
          <t>DV-010</t>
        </is>
      </c>
      <c r="B13" s="12" t="inlineStr">
        <is>
          <t>DSO — Caleb</t>
        </is>
      </c>
      <c r="C13" s="12" t="inlineStr">
        <is>
          <t>Facilities / Admin</t>
        </is>
      </c>
      <c r="D13" s="13" t="inlineStr">
        <is>
          <t>Competition registration + DV class entry</t>
        </is>
      </c>
      <c r="E13" s="13" t="inlineStr">
        <is>
          <t>FSAE Electric (Driverless Class) and/or FSG entry fees</t>
        </is>
      </c>
      <c r="F13" s="14" t="n">
        <v>1</v>
      </c>
      <c r="G13" s="15" t="n">
        <v>1500</v>
      </c>
      <c r="H13" s="16">
        <f>F13*G13</f>
        <v/>
      </c>
      <c r="I13" s="14" t="n">
        <v>1</v>
      </c>
      <c r="J13" s="14" t="n">
        <v>1</v>
      </c>
      <c r="K13" s="14" t="n">
        <v>1</v>
      </c>
      <c r="L13" s="16" t="n"/>
      <c r="M13" s="16" t="n"/>
      <c r="N13" s="16" t="n"/>
      <c r="O13" s="17" t="inlineStr">
        <is>
          <t>Critical</t>
        </is>
      </c>
      <c r="P13" s="12" t="inlineStr">
        <is>
          <t>Registration window</t>
        </is>
      </c>
      <c r="Q13" s="12" t="inlineStr">
        <is>
          <t>Sponsor-funded</t>
        </is>
      </c>
      <c r="R13" s="12" t="inlineStr">
        <is>
          <t>Event handbook</t>
        </is>
      </c>
      <c r="S13" s="13" t="inlineStr">
        <is>
          <t>Placeholder — confirm current-year fees. Registration windows are strict and early.</t>
        </is>
      </c>
    </row>
    <row r="14" ht="28" customHeight="1">
      <c r="A14" s="12" t="inlineStr">
        <is>
          <t>DV-011</t>
        </is>
      </c>
      <c r="B14" s="12" t="inlineStr">
        <is>
          <t>Team-Wide — Everyone</t>
        </is>
      </c>
      <c r="C14" s="12" t="inlineStr">
        <is>
          <t>Software / License</t>
        </is>
      </c>
      <c r="D14" s="13" t="inlineStr">
        <is>
          <t>Git hosting + CI minutes</t>
        </is>
      </c>
      <c r="E14" s="13" t="inlineStr">
        <is>
          <t>GitHub Education (free private repos + Actions) or self-hosted GitLab</t>
        </is>
      </c>
      <c r="F14" s="14" t="n">
        <v>1</v>
      </c>
      <c r="G14" s="15" t="n">
        <v>0</v>
      </c>
      <c r="H14" s="16">
        <f>F14*G14</f>
        <v/>
      </c>
      <c r="I14" s="14" t="n">
        <v>1</v>
      </c>
      <c r="J14" s="14" t="n">
        <v>1</v>
      </c>
      <c r="K14" s="14" t="n">
        <v>1</v>
      </c>
      <c r="L14" s="16">
        <f>$H14*I14</f>
        <v/>
      </c>
      <c r="M14" s="16">
        <f>$H14*J14</f>
        <v/>
      </c>
      <c r="N14" s="16">
        <f>$H14*K14</f>
        <v/>
      </c>
      <c r="O14" s="17" t="inlineStr">
        <is>
          <t>Critical</t>
        </is>
      </c>
      <c r="P14" s="12" t="inlineStr">
        <is>
          <t>Immediate</t>
        </is>
      </c>
      <c r="Q14" s="12" t="inlineStr">
        <is>
          <t>Free for students</t>
        </is>
      </c>
      <c r="R14" s="12" t="inlineStr">
        <is>
          <t>n/a</t>
        </is>
      </c>
      <c r="S14" s="13" t="inlineStr">
        <is>
          <t>Apply via GitHub Education. Zero cost — decide the version-control strategy in month 1.</t>
        </is>
      </c>
    </row>
    <row r="15" ht="28" customHeight="1">
      <c r="A15" s="12" t="inlineStr">
        <is>
          <t>DV-012</t>
        </is>
      </c>
      <c r="B15" s="12" t="inlineStr">
        <is>
          <t>Team-Wide — Everyone</t>
        </is>
      </c>
      <c r="C15" s="12" t="inlineStr">
        <is>
          <t>Software / License</t>
        </is>
      </c>
      <c r="D15" s="13" t="inlineStr">
        <is>
          <t>Project management + documentation tooling</t>
        </is>
      </c>
      <c r="E15" s="13" t="inlineStr">
        <is>
          <t>Notion/Linear/Jira student tier, or self-hosted</t>
        </is>
      </c>
      <c r="F15" s="14" t="n">
        <v>1</v>
      </c>
      <c r="G15" s="15" t="n">
        <v>0</v>
      </c>
      <c r="H15" s="16">
        <f>F15*G15</f>
        <v/>
      </c>
      <c r="I15" s="14" t="n">
        <v>1</v>
      </c>
      <c r="J15" s="14" t="n">
        <v>1</v>
      </c>
      <c r="K15" s="14" t="n">
        <v>1</v>
      </c>
      <c r="L15" s="16">
        <f>$H15*I15</f>
        <v/>
      </c>
      <c r="M15" s="16">
        <f>$H15*J15</f>
        <v/>
      </c>
      <c r="N15" s="16">
        <f>$H15*K15</f>
        <v/>
      </c>
      <c r="O15" s="12" t="inlineStr">
        <is>
          <t>Medium</t>
        </is>
      </c>
      <c r="P15" s="12" t="inlineStr">
        <is>
          <t>Immediate</t>
        </is>
      </c>
      <c r="Q15" s="12" t="inlineStr">
        <is>
          <t>Free education tiers</t>
        </is>
      </c>
      <c r="R15" s="12" t="inlineStr">
        <is>
          <t>n/a</t>
        </is>
      </c>
      <c r="S15" s="13" t="inlineStr">
        <is>
          <t>Free education plans exist for all three.</t>
        </is>
      </c>
    </row>
    <row r="16" ht="28" customHeight="1">
      <c r="A16" s="12" t="inlineStr">
        <is>
          <t>DV-013</t>
        </is>
      </c>
      <c r="B16" s="12" t="inlineStr">
        <is>
          <t>Team-Wide — Everyone</t>
        </is>
      </c>
      <c r="C16" s="12" t="inlineStr">
        <is>
          <t>Software / License</t>
        </is>
      </c>
      <c r="D16" s="13" t="inlineStr">
        <is>
          <t>MATLAB / Simulink + toolboxes</t>
        </is>
      </c>
      <c r="E16" s="13" t="inlineStr">
        <is>
          <t>Vehicle Dynamics Blockset, MPC Toolbox, Automated Driving Toolbox</t>
        </is>
      </c>
      <c r="F16" s="14" t="n">
        <v>1</v>
      </c>
      <c r="G16" s="15" t="n">
        <v>0</v>
      </c>
      <c r="H16" s="16">
        <f>F16*G16</f>
        <v/>
      </c>
      <c r="I16" s="14" t="n">
        <v>1</v>
      </c>
      <c r="J16" s="14" t="n">
        <v>1</v>
      </c>
      <c r="K16" s="14" t="n">
        <v>1</v>
      </c>
      <c r="L16" s="16">
        <f>$H16*I16</f>
        <v/>
      </c>
      <c r="M16" s="16">
        <f>$H16*J16</f>
        <v/>
      </c>
      <c r="N16" s="16">
        <f>$H16*K16</f>
        <v/>
      </c>
      <c r="O16" s="12" t="inlineStr">
        <is>
          <t>High</t>
        </is>
      </c>
      <c r="P16" s="12" t="inlineStr">
        <is>
          <t>2-4 weeks</t>
        </is>
      </c>
      <c r="Q16" s="12" t="inlineStr">
        <is>
          <t>Yes — MathWorks sponsors FS teams</t>
        </is>
      </c>
      <c r="R16" s="12" t="inlineStr">
        <is>
          <t>n/a</t>
        </is>
      </c>
      <c r="S16" s="13" t="inlineStr">
        <is>
          <t>MathWorks gives free competition licences to Formula Student teams. Apply early; also check your campus site licence.</t>
        </is>
      </c>
    </row>
    <row r="17" ht="28" customHeight="1">
      <c r="A17" s="12" t="inlineStr">
        <is>
          <t>DV-014</t>
        </is>
      </c>
      <c r="B17" s="12" t="inlineStr">
        <is>
          <t>Team-Wide — Everyone</t>
        </is>
      </c>
      <c r="C17" s="12" t="inlineStr">
        <is>
          <t>Software / License</t>
        </is>
      </c>
      <c r="D17" s="13" t="inlineStr">
        <is>
          <t>CAD / PDM (already sponsored)</t>
        </is>
      </c>
      <c r="E17" s="13" t="inlineStr">
        <is>
          <t>SOLIDWORKS / 3DEXPERIENCE via SAE Collegiate Design Series</t>
        </is>
      </c>
      <c r="F17" s="14" t="n">
        <v>1</v>
      </c>
      <c r="G17" s="15" t="n">
        <v>0</v>
      </c>
      <c r="H17" s="16">
        <f>F17*G17</f>
        <v/>
      </c>
      <c r="I17" s="14" t="n">
        <v>1</v>
      </c>
      <c r="J17" s="14" t="n">
        <v>1</v>
      </c>
      <c r="K17" s="14" t="n">
        <v>1</v>
      </c>
      <c r="L17" s="16">
        <f>$H17*I17</f>
        <v/>
      </c>
      <c r="M17" s="16">
        <f>$H17*J17</f>
        <v/>
      </c>
      <c r="N17" s="16">
        <f>$H17*K17</f>
        <v/>
      </c>
      <c r="O17" s="12" t="inlineStr">
        <is>
          <t>Medium</t>
        </is>
      </c>
      <c r="P17" s="12" t="inlineStr">
        <is>
          <t>Already held</t>
        </is>
      </c>
      <c r="Q17" s="12" t="inlineStr">
        <is>
          <t>Yes — Dassault via SAE</t>
        </is>
      </c>
      <c r="R17" s="12" t="inlineStr">
        <is>
          <t>n/a</t>
        </is>
      </c>
      <c r="S17" s="13" t="inlineStr">
        <is>
          <t>Apply under a TEAM email, not a personal one. Export data at end of season.</t>
        </is>
      </c>
    </row>
    <row r="18" ht="28" customHeight="1">
      <c r="A18" s="12" t="inlineStr">
        <is>
          <t>DV-015</t>
        </is>
      </c>
      <c r="B18" s="12" t="inlineStr">
        <is>
          <t>Perception — Amanuel + Irvine + Caleb</t>
        </is>
      </c>
      <c r="C18" s="12" t="inlineStr">
        <is>
          <t>Sensing — LiDAR</t>
        </is>
      </c>
      <c r="D18" s="13" t="inlineStr">
        <is>
          <t>Primary LiDAR (Tier 1 pick)</t>
        </is>
      </c>
      <c r="E18" s="13" t="inlineStr">
        <is>
          <t>Livox Mid-360 — 360x59 deg, 40m @10% / 70m @80%, 265g, IP67, built-in IMU, 0.1m blind zone</t>
        </is>
      </c>
      <c r="F18" s="14" t="n">
        <v>1</v>
      </c>
      <c r="G18" s="15" t="n">
        <v>749</v>
      </c>
      <c r="H18" s="16">
        <f>F18*G18</f>
        <v/>
      </c>
      <c r="I18" s="14" t="n">
        <v>1</v>
      </c>
      <c r="J18" s="14" t="n">
        <v>0</v>
      </c>
      <c r="K18" s="14" t="n">
        <v>0</v>
      </c>
      <c r="L18" s="16" t="n"/>
      <c r="M18" s="16">
        <f>$H18*J18</f>
        <v/>
      </c>
      <c r="N18" s="16">
        <f>$H18*K18</f>
        <v/>
      </c>
      <c r="O18" s="17" t="inlineStr">
        <is>
          <t>Critical</t>
        </is>
      </c>
      <c r="P18" s="12" t="inlineStr">
        <is>
          <t>3-6 weeks</t>
        </is>
      </c>
      <c r="Q18" s="12" t="inlineStr">
        <is>
          <t>Possible via distributor</t>
        </is>
      </c>
      <c r="R18" s="12" t="inlineStr">
        <is>
          <t>n/a</t>
        </is>
      </c>
      <c r="S18" s="13" t="inlineStr">
        <is>
          <t>Best price/performance for a new team. Non-repetitive scan needs point accumulation. Weak vendor support.</t>
        </is>
      </c>
    </row>
    <row r="19" ht="28" customHeight="1">
      <c r="A19" s="12" t="inlineStr">
        <is>
          <t>DV-016</t>
        </is>
      </c>
      <c r="B19" s="12" t="inlineStr">
        <is>
          <t>Perception — Amanuel + Irvine + Caleb</t>
        </is>
      </c>
      <c r="C19" s="12" t="inlineStr">
        <is>
          <t>Sensing — LiDAR</t>
        </is>
      </c>
      <c r="D19" s="13" t="inlineStr">
        <is>
          <t>Primary LiDAR (Tier 2 pick)</t>
        </is>
      </c>
      <c r="E19" s="13" t="inlineStr">
        <is>
          <t>Ouster OS1-32 Rev7 — 32ch, 45 deg vertical FOV, 90m @10%, IP68/69K</t>
        </is>
      </c>
      <c r="F19" s="14" t="n">
        <v>1</v>
      </c>
      <c r="G19" s="15" t="n">
        <v>6000</v>
      </c>
      <c r="H19" s="16">
        <f>F19*G19</f>
        <v/>
      </c>
      <c r="I19" s="14" t="n">
        <v>0</v>
      </c>
      <c r="J19" s="14" t="n">
        <v>1</v>
      </c>
      <c r="K19" s="14" t="n">
        <v>0</v>
      </c>
      <c r="L19" s="16">
        <f>$H19*I19</f>
        <v/>
      </c>
      <c r="M19" s="16">
        <f>$H19*J19</f>
        <v/>
      </c>
      <c r="N19" s="16">
        <f>$H19*K19</f>
        <v/>
      </c>
      <c r="O19" s="17" t="inlineStr">
        <is>
          <t>Critical</t>
        </is>
      </c>
      <c r="P19" s="12" t="inlineStr">
        <is>
          <t>6-12 weeks</t>
        </is>
      </c>
      <c r="Q19" s="12" t="inlineStr">
        <is>
          <t>Yes — approach Ouster</t>
        </is>
      </c>
      <c r="R19" s="12" t="inlineStr">
        <is>
          <t>n/a</t>
        </is>
      </c>
      <c r="S19" s="13" t="inlineStr">
        <is>
          <t>~US$8k list, ~US$6k non-profit pricing. Used OS1-32 / VLP-16 seen at US$1.5-5k — viable fallback.</t>
        </is>
      </c>
    </row>
    <row r="20" ht="28" customHeight="1">
      <c r="A20" s="12" t="inlineStr">
        <is>
          <t>DV-017</t>
        </is>
      </c>
      <c r="B20" s="12" t="inlineStr">
        <is>
          <t>Perception — Amanuel + Irvine + Caleb</t>
        </is>
      </c>
      <c r="C20" s="12" t="inlineStr">
        <is>
          <t>Sensing — LiDAR</t>
        </is>
      </c>
      <c r="D20" s="13" t="inlineStr">
        <is>
          <t>Primary LiDAR (Tier 3 pick)</t>
        </is>
      </c>
      <c r="E20" s="13" t="inlineStr">
        <is>
          <t>Ouster OS1-128 — dense 128ch for long-range cone detection</t>
        </is>
      </c>
      <c r="F20" s="14" t="n">
        <v>1</v>
      </c>
      <c r="G20" s="15" t="n">
        <v>12000</v>
      </c>
      <c r="H20" s="16">
        <f>F20*G20</f>
        <v/>
      </c>
      <c r="I20" s="14" t="n">
        <v>0</v>
      </c>
      <c r="J20" s="14" t="n">
        <v>0</v>
      </c>
      <c r="K20" s="14" t="n">
        <v>1</v>
      </c>
      <c r="L20" s="16">
        <f>$H20*I20</f>
        <v/>
      </c>
      <c r="M20" s="16">
        <f>$H20*J20</f>
        <v/>
      </c>
      <c r="N20" s="16">
        <f>$H20*K20</f>
        <v/>
      </c>
      <c r="O20" s="17" t="inlineStr">
        <is>
          <t>Critical</t>
        </is>
      </c>
      <c r="P20" s="12" t="inlineStr">
        <is>
          <t>8-14 weeks</t>
        </is>
      </c>
      <c r="Q20" s="12" t="inlineStr">
        <is>
          <t>Yes — approach Ouster</t>
        </is>
      </c>
      <c r="R20" s="12" t="inlineStr">
        <is>
          <t>n/a</t>
        </is>
      </c>
      <c r="S20" s="13" t="inlineStr">
        <is>
          <t>Perception range gates car speed. 128ch buys detection distance, which buys lap time.</t>
        </is>
      </c>
    </row>
    <row r="21" ht="28" customHeight="1">
      <c r="A21" s="12" t="inlineStr">
        <is>
          <t>DV-018</t>
        </is>
      </c>
      <c r="B21" s="12" t="inlineStr">
        <is>
          <t>Perception — Amanuel + Irvine + Caleb</t>
        </is>
      </c>
      <c r="C21" s="12" t="inlineStr">
        <is>
          <t>Sensing — LiDAR</t>
        </is>
      </c>
      <c r="D21" s="13" t="inlineStr">
        <is>
          <t>Secondary near-field LiDAR</t>
        </is>
      </c>
      <c r="E21" s="13" t="inlineStr">
        <is>
          <t>Livox Mid-360 as near-field/blind-spot fill alongside the OS1-128</t>
        </is>
      </c>
      <c r="F21" s="14" t="n">
        <v>1</v>
      </c>
      <c r="G21" s="15" t="n">
        <v>749</v>
      </c>
      <c r="H21" s="16">
        <f>F21*G21</f>
        <v/>
      </c>
      <c r="I21" s="14" t="n">
        <v>0</v>
      </c>
      <c r="J21" s="14" t="n">
        <v>0</v>
      </c>
      <c r="K21" s="14" t="n">
        <v>1</v>
      </c>
      <c r="L21" s="16">
        <f>$H21*I21</f>
        <v/>
      </c>
      <c r="M21" s="16">
        <f>$H21*J21</f>
        <v/>
      </c>
      <c r="N21" s="16">
        <f>$H21*K21</f>
        <v/>
      </c>
      <c r="O21" s="12" t="inlineStr">
        <is>
          <t>Medium</t>
        </is>
      </c>
      <c r="P21" s="12" t="inlineStr">
        <is>
          <t>3-6 weeks</t>
        </is>
      </c>
      <c r="Q21" s="12" t="inlineStr">
        <is>
          <t>Possible</t>
        </is>
      </c>
      <c r="R21" s="12" t="inlineStr">
        <is>
          <t>n/a</t>
        </is>
      </c>
      <c r="S21" s="13" t="inlineStr">
        <is>
          <t>Covers the OS1's near blind zone in tight hairpins (~9m diameter).</t>
        </is>
      </c>
    </row>
    <row r="22" ht="28" customHeight="1">
      <c r="A22" s="12" t="inlineStr">
        <is>
          <t>DV-019</t>
        </is>
      </c>
      <c r="B22" s="12" t="inlineStr">
        <is>
          <t>Perception — Amanuel + Irvine + Caleb</t>
        </is>
      </c>
      <c r="C22" s="12" t="inlineStr">
        <is>
          <t>Sensing — Camera</t>
        </is>
      </c>
      <c r="D22" s="13" t="inlineStr">
        <is>
          <t>Stereo camera (Tier 1 pick)</t>
        </is>
      </c>
      <c r="E22" s="13" t="inlineStr">
        <is>
          <t>Used Stereolabs ZED 2i (rolling shutter, IP66, built-in IMU) or RealSense D455</t>
        </is>
      </c>
      <c r="F22" s="14" t="n">
        <v>1</v>
      </c>
      <c r="G22" s="15" t="n">
        <v>350</v>
      </c>
      <c r="H22" s="16">
        <f>F22*G22</f>
        <v/>
      </c>
      <c r="I22" s="14" t="n">
        <v>1</v>
      </c>
      <c r="J22" s="14" t="n">
        <v>0</v>
      </c>
      <c r="K22" s="14" t="n">
        <v>0</v>
      </c>
      <c r="L22" s="16" t="n"/>
      <c r="M22" s="16">
        <f>$H22*J22</f>
        <v/>
      </c>
      <c r="N22" s="16">
        <f>$H22*K22</f>
        <v/>
      </c>
      <c r="O22" s="17" t="inlineStr">
        <is>
          <t>Critical</t>
        </is>
      </c>
      <c r="P22" s="12" t="inlineStr">
        <is>
          <t>1-3 weeks</t>
        </is>
      </c>
      <c r="Q22" s="12" t="inlineStr">
        <is>
          <t>Yes — Stereolabs has a student programme</t>
        </is>
      </c>
      <c r="R22" s="12" t="inlineStr">
        <is>
          <t>n/a</t>
        </is>
      </c>
      <c r="S22" s="13" t="inlineStr">
        <is>
          <t>Rolling shutter smears at speed — acceptable at the &lt;5 m/s year-1 target. Verify RealSense availability; that line has had discontinuation uncertainty.</t>
        </is>
      </c>
    </row>
    <row r="23" ht="28" customHeight="1">
      <c r="A23" s="12" t="inlineStr">
        <is>
          <t>DV-020</t>
        </is>
      </c>
      <c r="B23" s="12" t="inlineStr">
        <is>
          <t>Perception — Amanuel + Irvine + Caleb</t>
        </is>
      </c>
      <c r="C23" s="12" t="inlineStr">
        <is>
          <t>Sensing — Camera</t>
        </is>
      </c>
      <c r="D23" s="13" t="inlineStr">
        <is>
          <t>Global-shutter cameras (Tier 2 pick)</t>
        </is>
      </c>
      <c r="E23" s="13" t="inlineStr">
        <is>
          <t>2x Stereolabs ZED X (GMSL2, global shutter, 1200p/60, IP67) + ZED Box/capture card</t>
        </is>
      </c>
      <c r="F23" s="14" t="n">
        <v>1</v>
      </c>
      <c r="G23" s="15" t="n">
        <v>2000</v>
      </c>
      <c r="H23" s="16">
        <f>F23*G23</f>
        <v/>
      </c>
      <c r="I23" s="14" t="n">
        <v>0</v>
      </c>
      <c r="J23" s="14" t="n">
        <v>1</v>
      </c>
      <c r="K23" s="14" t="n">
        <v>0</v>
      </c>
      <c r="L23" s="16">
        <f>$H23*I23</f>
        <v/>
      </c>
      <c r="M23" s="16">
        <f>$H23*J23</f>
        <v/>
      </c>
      <c r="N23" s="16">
        <f>$H23*K23</f>
        <v/>
      </c>
      <c r="O23" s="17" t="inlineStr">
        <is>
          <t>Critical</t>
        </is>
      </c>
      <c r="P23" s="12" t="inlineStr">
        <is>
          <t>4-8 weeks</t>
        </is>
      </c>
      <c r="Q23" s="12" t="inlineStr">
        <is>
          <t>Yes — Stereolabs</t>
        </is>
      </c>
      <c r="R23" s="12" t="inlineStr">
        <is>
          <t>n/a</t>
        </is>
      </c>
      <c r="S23" s="13" t="inlineStr">
        <is>
          <t>Global shutter is strongly preferred on a car pulling &gt;1g. GMSL2 tolerates long runs near the tractive system.</t>
        </is>
      </c>
    </row>
    <row r="24" ht="28" customHeight="1">
      <c r="A24" s="12" t="inlineStr">
        <is>
          <t>DV-021</t>
        </is>
      </c>
      <c r="B24" s="12" t="inlineStr">
        <is>
          <t>Perception — Amanuel + Irvine + Caleb</t>
        </is>
      </c>
      <c r="C24" s="12" t="inlineStr">
        <is>
          <t>Sensing — Camera</t>
        </is>
      </c>
      <c r="D24" s="13" t="inlineStr">
        <is>
          <t>Multi-camera array (Tier 3 pick)</t>
        </is>
      </c>
      <c r="E24" s="13" t="inlineStr">
        <is>
          <t>3x ZED X / Basler ace global-shutter + GMSL2 infrastructure</t>
        </is>
      </c>
      <c r="F24" s="14" t="n">
        <v>1</v>
      </c>
      <c r="G24" s="15" t="n">
        <v>4000</v>
      </c>
      <c r="H24" s="16">
        <f>F24*G24</f>
        <v/>
      </c>
      <c r="I24" s="14" t="n">
        <v>0</v>
      </c>
      <c r="J24" s="14" t="n">
        <v>0</v>
      </c>
      <c r="K24" s="14" t="n">
        <v>1</v>
      </c>
      <c r="L24" s="16">
        <f>$H24*I24</f>
        <v/>
      </c>
      <c r="M24" s="16">
        <f>$H24*J24</f>
        <v/>
      </c>
      <c r="N24" s="16">
        <f>$H24*K24</f>
        <v/>
      </c>
      <c r="O24" s="17" t="inlineStr">
        <is>
          <t>Critical</t>
        </is>
      </c>
      <c r="P24" s="12" t="inlineStr">
        <is>
          <t>6-10 weeks</t>
        </is>
      </c>
      <c r="Q24" s="12" t="inlineStr">
        <is>
          <t>Yes — Stereolabs / Basler</t>
        </is>
      </c>
      <c r="R24" s="12" t="inlineStr">
        <is>
          <t>n/a</t>
        </is>
      </c>
      <c r="S24" s="13" t="inlineStr">
        <is>
          <t>Near-wide (~120 deg) + far-narrow (~50-60 deg) pair, as used by AMZ and Elefant. Hardware-sync the array.</t>
        </is>
      </c>
    </row>
    <row r="25" ht="28" customHeight="1">
      <c r="A25" s="12" t="inlineStr">
        <is>
          <t>DV-022</t>
        </is>
      </c>
      <c r="B25" s="12" t="inlineStr">
        <is>
          <t>Perception — Amanuel + Irvine + Caleb</t>
        </is>
      </c>
      <c r="C25" s="12" t="inlineStr">
        <is>
          <t>Sensing — Camera</t>
        </is>
      </c>
      <c r="D25" s="13" t="inlineStr">
        <is>
          <t>Lens set for machine-vision cameras</t>
        </is>
      </c>
      <c r="E25" s="13" t="inlineStr">
        <is>
          <t>C-mount lenses sized for cone detection at 25m (far ~50-60 deg HFOV, near ~120 deg)</t>
        </is>
      </c>
      <c r="F25" s="14" t="n">
        <v>2</v>
      </c>
      <c r="G25" s="15" t="n">
        <v>300</v>
      </c>
      <c r="H25" s="16">
        <f>F25*G25</f>
        <v/>
      </c>
      <c r="I25" s="14" t="n">
        <v>0</v>
      </c>
      <c r="J25" s="14" t="n">
        <v>0</v>
      </c>
      <c r="K25" s="14" t="n">
        <v>1</v>
      </c>
      <c r="L25" s="16">
        <f>$H25*I25</f>
        <v/>
      </c>
      <c r="M25" s="16">
        <f>$H25*J25</f>
        <v/>
      </c>
      <c r="N25" s="16">
        <f>$H25*K25</f>
        <v/>
      </c>
      <c r="O25" s="12" t="inlineStr">
        <is>
          <t>High</t>
        </is>
      </c>
      <c r="P25" s="12" t="inlineStr">
        <is>
          <t>3-5 weeks</t>
        </is>
      </c>
      <c r="Q25" s="12" t="inlineStr">
        <is>
          <t>Possible</t>
        </is>
      </c>
      <c r="R25" s="12" t="inlineStr">
        <is>
          <t>n/a</t>
        </is>
      </c>
      <c r="S25" s="13" t="inlineStr">
        <is>
          <t>A 325mm cone at 25m on 1080p/50 deg HFOV is only ~15px tall — near the detection floor. Do the FOV maths before ordering.</t>
        </is>
      </c>
    </row>
    <row r="26" ht="28" customHeight="1">
      <c r="A26" s="12" t="inlineStr">
        <is>
          <t>DV-023</t>
        </is>
      </c>
      <c r="B26" s="12" t="inlineStr">
        <is>
          <t>Perception — Amanuel + Irvine + Caleb</t>
        </is>
      </c>
      <c r="C26" s="12" t="inlineStr">
        <is>
          <t>Test Equipment</t>
        </is>
      </c>
      <c r="D26" s="13" t="inlineStr">
        <is>
          <t>Calibration targets</t>
        </is>
      </c>
      <c r="E26" s="13" t="inlineStr">
        <is>
          <t>Rigid checkerboard board + printed AprilTag boards + calibration jig</t>
        </is>
      </c>
      <c r="F26" s="14" t="n">
        <v>1</v>
      </c>
      <c r="G26" s="15" t="n">
        <v>200</v>
      </c>
      <c r="H26" s="16">
        <f>F26*G26</f>
        <v/>
      </c>
      <c r="I26" s="14" t="n">
        <v>1</v>
      </c>
      <c r="J26" s="14" t="n">
        <v>1</v>
      </c>
      <c r="K26" s="14" t="n">
        <v>1</v>
      </c>
      <c r="L26" s="16">
        <f>$H26*I26</f>
        <v/>
      </c>
      <c r="M26" s="16">
        <f>$H26*J26</f>
        <v/>
      </c>
      <c r="N26" s="16">
        <f>$H26*K26</f>
        <v/>
      </c>
      <c r="O26" s="12" t="inlineStr">
        <is>
          <t>High</t>
        </is>
      </c>
      <c r="P26" s="12" t="inlineStr">
        <is>
          <t>2 weeks</t>
        </is>
      </c>
      <c r="Q26" s="12" t="inlineStr">
        <is>
          <t>No</t>
        </is>
      </c>
      <c r="R26" s="12" t="inlineStr">
        <is>
          <t>n/a</t>
        </is>
      </c>
      <c r="S26" s="13" t="inlineStr">
        <is>
          <t>Use with Kalibr (camera-IMU), lidar_camera_calibration, direct_visual_lidar_calibration. Rigidity matters more than size.</t>
        </is>
      </c>
    </row>
    <row r="27" ht="28" customHeight="1">
      <c r="A27" s="12" t="inlineStr">
        <is>
          <t>DV-024</t>
        </is>
      </c>
      <c r="B27" s="12" t="inlineStr">
        <is>
          <t>Perception — Amanuel + Irvine + Caleb</t>
        </is>
      </c>
      <c r="C27" s="12" t="inlineStr">
        <is>
          <t>Actuation / Mounting</t>
        </is>
      </c>
      <c r="D27" s="13" t="inlineStr">
        <is>
          <t>Sensor mounts + vibration isolation</t>
        </is>
      </c>
      <c r="E27" s="13" t="inlineStr">
        <is>
          <t>Machined/printed LiDAR nosecone mount, main-hoop camera mounts, wire-rope isolators, Sorbothane</t>
        </is>
      </c>
      <c r="F27" s="14" t="n">
        <v>1</v>
      </c>
      <c r="G27" s="15" t="n">
        <v>600</v>
      </c>
      <c r="H27" s="16">
        <f>F27*G27</f>
        <v/>
      </c>
      <c r="I27" s="14" t="n">
        <v>1</v>
      </c>
      <c r="J27" s="14" t="n">
        <v>0</v>
      </c>
      <c r="K27" s="14" t="n">
        <v>0</v>
      </c>
      <c r="L27" s="16">
        <f>$H27*I27</f>
        <v/>
      </c>
      <c r="M27" s="16">
        <f>$H27*J27</f>
        <v/>
      </c>
      <c r="N27" s="16">
        <f>$H27*K27</f>
        <v/>
      </c>
      <c r="O27" s="12" t="inlineStr">
        <is>
          <t>High</t>
        </is>
      </c>
      <c r="P27" s="12" t="inlineStr">
        <is>
          <t>3-4 weeks</t>
        </is>
      </c>
      <c r="Q27" s="12" t="inlineStr">
        <is>
          <t>Possible (machining sponsor)</t>
        </is>
      </c>
      <c r="R27" s="12" t="inlineStr">
        <is>
          <t>FSAE DT.2.3</t>
        </is>
      </c>
      <c r="S27" s="13" t="inlineStr">
        <is>
          <t>Tier 1 = basic mounts. Nose mount gives the best forward view but is crash-exposed; protect it or use replaceable side boxes.</t>
        </is>
      </c>
    </row>
    <row r="28" ht="28" customHeight="1">
      <c r="A28" s="12" t="inlineStr">
        <is>
          <t>DV-025</t>
        </is>
      </c>
      <c r="B28" s="12" t="inlineStr">
        <is>
          <t>Perception — Amanuel + Irvine + Caleb</t>
        </is>
      </c>
      <c r="C28" s="12" t="inlineStr">
        <is>
          <t>Actuation / Mounting</t>
        </is>
      </c>
      <c r="D28" s="13" t="inlineStr">
        <is>
          <t>Engineered sensor mounts + IP enclosures</t>
        </is>
      </c>
      <c r="E28" s="13" t="inlineStr">
        <is>
          <t>CNC mounts, isolators, IP-rated camera/LiDAR housings</t>
        </is>
      </c>
      <c r="F28" s="14" t="n">
        <v>1</v>
      </c>
      <c r="G28" s="15" t="n">
        <v>1900</v>
      </c>
      <c r="H28" s="16">
        <f>F28*G28</f>
        <v/>
      </c>
      <c r="I28" s="14" t="n">
        <v>0</v>
      </c>
      <c r="J28" s="14" t="n">
        <v>1</v>
      </c>
      <c r="K28" s="14" t="n">
        <v>1</v>
      </c>
      <c r="L28" s="16">
        <f>$H28*I28</f>
        <v/>
      </c>
      <c r="M28" s="16">
        <f>$H28*J28</f>
        <v/>
      </c>
      <c r="N28" s="16">
        <f>$H28*K28</f>
        <v/>
      </c>
      <c r="O28" s="12" t="inlineStr">
        <is>
          <t>High</t>
        </is>
      </c>
      <c r="P28" s="12" t="inlineStr">
        <is>
          <t>4-6 weeks</t>
        </is>
      </c>
      <c r="Q28" s="12" t="inlineStr">
        <is>
          <t>Possible (machining sponsor)</t>
        </is>
      </c>
      <c r="R28" s="12" t="inlineStr">
        <is>
          <t>FSAE DT.2.3</t>
        </is>
      </c>
      <c r="S28" s="13" t="inlineStr">
        <is>
          <t>AS components must sit inside the primary-structure/tire envelope or allowed aero zones — check DT.2.3 before designing.</t>
        </is>
      </c>
    </row>
    <row r="29" ht="28" customHeight="1">
      <c r="A29" s="12" t="inlineStr">
        <is>
          <t>DV-026</t>
        </is>
      </c>
      <c r="B29" s="12" t="inlineStr">
        <is>
          <t>Perception — Amanuel + Irvine + Caleb</t>
        </is>
      </c>
      <c r="C29" s="12" t="inlineStr">
        <is>
          <t>Compute</t>
        </is>
      </c>
      <c r="D29" s="13" t="inlineStr">
        <is>
          <t>ML training workstation</t>
        </is>
      </c>
      <c r="E29" s="13" t="inlineStr">
        <is>
          <t>Ryzen 9 / i9, 64GB RAM, RTX 4080 (16-24GB), 2TB NVMe</t>
        </is>
      </c>
      <c r="F29" s="14" t="n">
        <v>1</v>
      </c>
      <c r="G29" s="15" t="n">
        <v>3500</v>
      </c>
      <c r="H29" s="16">
        <f>F29*G29</f>
        <v/>
      </c>
      <c r="I29" s="14" t="n">
        <v>0</v>
      </c>
      <c r="J29" s="14" t="n">
        <v>1</v>
      </c>
      <c r="K29" s="14" t="n">
        <v>0</v>
      </c>
      <c r="L29" s="16">
        <f>$H29*I29</f>
        <v/>
      </c>
      <c r="M29" s="16" t="n"/>
      <c r="N29" s="16">
        <f>$H29*K29</f>
        <v/>
      </c>
      <c r="O29" s="12" t="inlineStr">
        <is>
          <t>High</t>
        </is>
      </c>
      <c r="P29" s="12" t="inlineStr">
        <is>
          <t>2-4 weeks</t>
        </is>
      </c>
      <c r="Q29" s="12" t="inlineStr">
        <is>
          <t>Yes — NVIDIA academic seeding</t>
        </is>
      </c>
      <c r="R29" s="12" t="inlineStr">
        <is>
          <t>n/a</t>
        </is>
      </c>
      <c r="S29" s="13" t="inlineStr">
        <is>
          <t>Tier 1: use existing lab machines or campus HPC (cost $0). Needed to train YOLO/segmentation on FSOCO.</t>
        </is>
      </c>
    </row>
    <row r="30" ht="28" customHeight="1">
      <c r="A30" s="12" t="inlineStr">
        <is>
          <t>DV-027</t>
        </is>
      </c>
      <c r="B30" s="12" t="inlineStr">
        <is>
          <t>Perception — Amanuel + Irvine + Caleb</t>
        </is>
      </c>
      <c r="C30" s="12" t="inlineStr">
        <is>
          <t>Compute</t>
        </is>
      </c>
      <c r="D30" s="13" t="inlineStr">
        <is>
          <t>ML training workstations (x2)</t>
        </is>
      </c>
      <c r="E30" s="13" t="inlineStr">
        <is>
          <t>Dual RTX 4090 workstations for parallel training + campus HPC time</t>
        </is>
      </c>
      <c r="F30" s="14" t="n">
        <v>2</v>
      </c>
      <c r="G30" s="15" t="n">
        <v>4000</v>
      </c>
      <c r="H30" s="16">
        <f>F30*G30</f>
        <v/>
      </c>
      <c r="I30" s="14" t="n">
        <v>0</v>
      </c>
      <c r="J30" s="14" t="n">
        <v>0</v>
      </c>
      <c r="K30" s="14" t="n">
        <v>1</v>
      </c>
      <c r="L30" s="16">
        <f>$H30*I30</f>
        <v/>
      </c>
      <c r="M30" s="16" t="n"/>
      <c r="N30" s="16" t="n"/>
      <c r="O30" s="12" t="inlineStr">
        <is>
          <t>High</t>
        </is>
      </c>
      <c r="P30" s="12" t="inlineStr">
        <is>
          <t>3-5 weeks</t>
        </is>
      </c>
      <c r="Q30" s="12" t="inlineStr">
        <is>
          <t>Yes — NVIDIA academic seeding</t>
        </is>
      </c>
      <c r="R30" s="12" t="inlineStr">
        <is>
          <t>n/a</t>
        </is>
      </c>
      <c r="S30" s="13" t="inlineStr">
        <is>
          <t>Only worth it once you have a real labelling and retraining cadence.</t>
        </is>
      </c>
    </row>
    <row r="31" ht="28" customHeight="1">
      <c r="A31" s="12" t="inlineStr">
        <is>
          <t>DV-028</t>
        </is>
      </c>
      <c r="B31" s="12" t="inlineStr">
        <is>
          <t>Perception — Amanuel + Irvine + Caleb</t>
        </is>
      </c>
      <c r="C31" s="12" t="inlineStr">
        <is>
          <t>Software / License</t>
        </is>
      </c>
      <c r="D31" s="13" t="inlineStr">
        <is>
          <t>Cone dataset</t>
        </is>
      </c>
      <c r="E31" s="13" t="inlineStr">
        <is>
          <t>FSOCO — 44,195 images / 316,669 labelled cones, bboxes + instance segmentation</t>
        </is>
      </c>
      <c r="F31" s="14" t="n">
        <v>1</v>
      </c>
      <c r="G31" s="15" t="n">
        <v>0</v>
      </c>
      <c r="H31" s="16">
        <f>F31*G31</f>
        <v/>
      </c>
      <c r="I31" s="14" t="n">
        <v>1</v>
      </c>
      <c r="J31" s="14" t="n">
        <v>1</v>
      </c>
      <c r="K31" s="14" t="n">
        <v>1</v>
      </c>
      <c r="L31" s="16">
        <f>$H31*I31</f>
        <v/>
      </c>
      <c r="M31" s="16">
        <f>$H31*J31</f>
        <v/>
      </c>
      <c r="N31" s="16">
        <f>$H31*K31</f>
        <v/>
      </c>
      <c r="O31" s="17" t="inlineStr">
        <is>
          <t>Critical</t>
        </is>
      </c>
      <c r="P31" s="12" t="inlineStr">
        <is>
          <t>Immediate</t>
        </is>
      </c>
      <c r="Q31" s="12" t="inlineStr">
        <is>
          <t>Free</t>
        </is>
      </c>
      <c r="R31" s="12" t="inlineStr">
        <is>
          <t>n/a</t>
        </is>
      </c>
      <c r="S31" s="13" t="inlineStr">
        <is>
          <t>PUBLIC since Aug 2022 — the old contribution buy-in is gone. fsoco-dataset.com. Contributing back is still encouraged.</t>
        </is>
      </c>
    </row>
    <row r="32" ht="28" customHeight="1">
      <c r="A32" s="12" t="inlineStr">
        <is>
          <t>DV-029</t>
        </is>
      </c>
      <c r="B32" s="12" t="inlineStr">
        <is>
          <t>Perception — Amanuel + Irvine + Caleb</t>
        </is>
      </c>
      <c r="C32" s="12" t="inlineStr">
        <is>
          <t>Software / License</t>
        </is>
      </c>
      <c r="D32" s="13" t="inlineStr">
        <is>
          <t>Detection model licence check</t>
        </is>
      </c>
      <c r="E32" s="13" t="inlineStr">
        <is>
          <t>YOLOX / MMDetection / Detectron2 (permissive) vs Ultralytics YOLO (AGPL-3.0)</t>
        </is>
      </c>
      <c r="F32" s="14" t="n">
        <v>1</v>
      </c>
      <c r="G32" s="15" t="n">
        <v>0</v>
      </c>
      <c r="H32" s="16">
        <f>F32*G32</f>
        <v/>
      </c>
      <c r="I32" s="14" t="n">
        <v>1</v>
      </c>
      <c r="J32" s="14" t="n">
        <v>1</v>
      </c>
      <c r="K32" s="14" t="n">
        <v>1</v>
      </c>
      <c r="L32" s="16">
        <f>$H32*I32</f>
        <v/>
      </c>
      <c r="M32" s="16">
        <f>$H32*J32</f>
        <v/>
      </c>
      <c r="N32" s="16">
        <f>$H32*K32</f>
        <v/>
      </c>
      <c r="O32" s="12" t="inlineStr">
        <is>
          <t>High</t>
        </is>
      </c>
      <c r="P32" s="12" t="inlineStr">
        <is>
          <t>Immediate</t>
        </is>
      </c>
      <c r="Q32" s="12" t="inlineStr">
        <is>
          <t>Free</t>
        </is>
      </c>
      <c r="R32" s="12" t="inlineStr">
        <is>
          <t>n/a</t>
        </is>
      </c>
      <c r="S32" s="13" t="inlineStr">
        <is>
          <t>Ultralytics is AGPL-3.0 — can force open-sourcing of dependent code if distributed. Fine for competition, a problem if a sponsor wants closed code.</t>
        </is>
      </c>
    </row>
    <row r="33" ht="28" customHeight="1">
      <c r="A33" s="12" t="inlineStr">
        <is>
          <t>DV-030</t>
        </is>
      </c>
      <c r="B33" s="12" t="inlineStr">
        <is>
          <t>Mapping — Angel</t>
        </is>
      </c>
      <c r="C33" s="12" t="inlineStr">
        <is>
          <t>Sensing — GNSS/INS</t>
        </is>
      </c>
      <c r="D33" s="13" t="inlineStr">
        <is>
          <t>GNSS/INS (Tier 1 pick)</t>
        </is>
      </c>
      <c r="E33" s="13" t="inlineStr">
        <is>
          <t>ArduSimple simpleRTK2B (u-blox ZED-F9P) + antenna, paired with a separate IMU</t>
        </is>
      </c>
      <c r="F33" s="14" t="n">
        <v>1</v>
      </c>
      <c r="G33" s="15" t="n">
        <v>400</v>
      </c>
      <c r="H33" s="16">
        <f>F33*G33</f>
        <v/>
      </c>
      <c r="I33" s="14" t="n">
        <v>1</v>
      </c>
      <c r="J33" s="14" t="n">
        <v>0</v>
      </c>
      <c r="K33" s="14" t="n">
        <v>0</v>
      </c>
      <c r="L33" s="36" t="inlineStr">
        <is>
          <t>SPONSORED (1K)</t>
        </is>
      </c>
      <c r="M33" s="16" t="n"/>
      <c r="N33" s="16">
        <f>$H33*K33</f>
        <v/>
      </c>
      <c r="O33" s="12" t="inlineStr">
        <is>
          <t>High</t>
        </is>
      </c>
      <c r="P33" s="12" t="inlineStr">
        <is>
          <t>2-4 weeks</t>
        </is>
      </c>
      <c r="Q33" s="12" t="inlineStr">
        <is>
          <t>No</t>
        </is>
      </c>
      <c r="R33" s="12" t="inlineStr">
        <is>
          <t>n/a</t>
        </is>
      </c>
      <c r="S33" s="13" t="inlineStr">
        <is>
          <t>Budget RTK. No dual-antenna heading — yaw at standstill will be weak, which hurts skidpad starts.</t>
        </is>
      </c>
    </row>
    <row r="34" ht="28" customHeight="1">
      <c r="A34" s="12" t="inlineStr">
        <is>
          <t>DV-031</t>
        </is>
      </c>
      <c r="B34" s="12" t="inlineStr">
        <is>
          <t>Mapping — Angel</t>
        </is>
      </c>
      <c r="C34" s="12" t="inlineStr">
        <is>
          <t>Sensing — GNSS/INS</t>
        </is>
      </c>
      <c r="D34" s="13" t="inlineStr">
        <is>
          <t>GNSS/INS (Tier 2 pick)</t>
        </is>
      </c>
      <c r="E34" s="13" t="inlineStr">
        <is>
          <t>SBG Ellipse-D — dual-antenna heading, L1/L2 quad-constellation RTK (or VectorNav VN-300)</t>
        </is>
      </c>
      <c r="F34" s="14" t="n">
        <v>1</v>
      </c>
      <c r="G34" s="15" t="n">
        <v>5000</v>
      </c>
      <c r="H34" s="16">
        <f>F34*G34</f>
        <v/>
      </c>
      <c r="I34" s="14" t="n">
        <v>0</v>
      </c>
      <c r="J34" s="14" t="n">
        <v>1</v>
      </c>
      <c r="K34" s="14" t="n">
        <v>0</v>
      </c>
      <c r="L34" s="16">
        <f>$H34*I34</f>
        <v/>
      </c>
      <c r="M34" s="16">
        <f>$H34*J34</f>
        <v/>
      </c>
      <c r="N34" s="16">
        <f>$H34*K34</f>
        <v/>
      </c>
      <c r="O34" s="17" t="inlineStr">
        <is>
          <t>Critical</t>
        </is>
      </c>
      <c r="P34" s="12" t="inlineStr">
        <is>
          <t>6-10 weeks</t>
        </is>
      </c>
      <c r="Q34" s="12" t="inlineStr">
        <is>
          <t>YES — SBG and VectorNav both run student programmes</t>
        </is>
      </c>
      <c r="R34" s="12" t="inlineStr">
        <is>
          <t>n/a</t>
        </is>
      </c>
      <c r="S34" s="13" t="inlineStr">
        <is>
          <t>Highest-value sponsorship ask on the whole BOM. Zurich UAS reported driverless was 'impossible' from position drift until they added an Ellipse-D. SBG is ITAR-free.</t>
        </is>
      </c>
    </row>
    <row r="35" ht="28" customHeight="1">
      <c r="A35" s="12" t="inlineStr">
        <is>
          <t>DV-032</t>
        </is>
      </c>
      <c r="B35" s="12" t="inlineStr">
        <is>
          <t>Mapping — Angel</t>
        </is>
      </c>
      <c r="C35" s="12" t="inlineStr">
        <is>
          <t>Sensing — GNSS/INS</t>
        </is>
      </c>
      <c r="D35" s="13" t="inlineStr">
        <is>
          <t>GNSS/INS + own RTK base (Tier 3 pick)</t>
        </is>
      </c>
      <c r="E35" s="13" t="inlineStr">
        <is>
          <t>SBG Ellipse-D + dedicated RTK base station</t>
        </is>
      </c>
      <c r="F35" s="14" t="n">
        <v>1</v>
      </c>
      <c r="G35" s="15" t="n">
        <v>8000</v>
      </c>
      <c r="H35" s="16">
        <f>F35*G35</f>
        <v/>
      </c>
      <c r="I35" s="14" t="n">
        <v>0</v>
      </c>
      <c r="J35" s="14" t="n">
        <v>0</v>
      </c>
      <c r="K35" s="14" t="n">
        <v>1</v>
      </c>
      <c r="L35" s="36" t="inlineStr">
        <is>
          <t>SPONSORED (8K)</t>
        </is>
      </c>
      <c r="M35" s="16" t="n"/>
      <c r="N35" s="16" t="n"/>
      <c r="O35" s="17" t="inlineStr">
        <is>
          <t>Critical</t>
        </is>
      </c>
      <c r="P35" s="12" t="inlineStr">
        <is>
          <t>8-12 weeks</t>
        </is>
      </c>
      <c r="Q35" s="12" t="inlineStr">
        <is>
          <t>YES — SBG</t>
        </is>
      </c>
      <c r="R35" s="12" t="inlineStr">
        <is>
          <t>n/a</t>
        </is>
      </c>
      <c r="S35" s="13" t="inlineStr">
        <is>
          <t>Own base removes reliance on cellular NTRIP at remote Prairie test sites.</t>
        </is>
      </c>
    </row>
    <row r="36" ht="28" customHeight="1">
      <c r="A36" s="12" t="inlineStr">
        <is>
          <t>DV-033</t>
        </is>
      </c>
      <c r="B36" s="12" t="inlineStr">
        <is>
          <t>Mapping — Angel</t>
        </is>
      </c>
      <c r="C36" s="12" t="inlineStr">
        <is>
          <t>Sensing — GNSS/INS</t>
        </is>
      </c>
      <c r="D36" s="13" t="inlineStr">
        <is>
          <t>Dual GNSS antennas + low-loss cabling</t>
        </is>
      </c>
      <c r="E36" s="13" t="inlineStr">
        <is>
          <t>L1/L2 survey antennas x2 + LMR cabling, roll-hoop/bodywork mounts</t>
        </is>
      </c>
      <c r="F36" s="14" t="n">
        <v>1</v>
      </c>
      <c r="G36" s="15" t="n">
        <v>400</v>
      </c>
      <c r="H36" s="16">
        <f>F36*G36</f>
        <v/>
      </c>
      <c r="I36" s="14" t="n">
        <v>0</v>
      </c>
      <c r="J36" s="14" t="n">
        <v>1</v>
      </c>
      <c r="K36" s="14" t="n">
        <v>1</v>
      </c>
      <c r="L36" s="16">
        <f>$H36*I36</f>
        <v/>
      </c>
      <c r="M36" s="16">
        <f>$H36*J36</f>
        <v/>
      </c>
      <c r="N36" s="16">
        <f>$H36*K36</f>
        <v/>
      </c>
      <c r="O36" s="12" t="inlineStr">
        <is>
          <t>High</t>
        </is>
      </c>
      <c r="P36" s="12" t="inlineStr">
        <is>
          <t>3-4 weeks</t>
        </is>
      </c>
      <c r="Q36" s="12" t="inlineStr">
        <is>
          <t>Bundled with INS sponsorship</t>
        </is>
      </c>
      <c r="R36" s="12" t="inlineStr">
        <is>
          <t>n/a</t>
        </is>
      </c>
      <c r="S36" s="13" t="inlineStr">
        <is>
          <t>Antenna baseline length drives heading accuracy — plan the mounting geometry with the mech team.</t>
        </is>
      </c>
    </row>
    <row r="37" ht="28" customHeight="1">
      <c r="A37" s="12" t="inlineStr">
        <is>
          <t>DV-034</t>
        </is>
      </c>
      <c r="B37" s="12" t="inlineStr">
        <is>
          <t>Mapping — Angel</t>
        </is>
      </c>
      <c r="C37" s="12" t="inlineStr">
        <is>
          <t>Software / License</t>
        </is>
      </c>
      <c r="D37" s="13" t="inlineStr">
        <is>
          <t>RTK correction service (Canada)</t>
        </is>
      </c>
      <c r="E37" s="13" t="inlineStr">
        <is>
          <t>Commercial NTRIP subscription (RTKdata / RTK FIX) — annual</t>
        </is>
      </c>
      <c r="F37" s="14" t="n">
        <v>1</v>
      </c>
      <c r="G37" s="15" t="n">
        <v>600</v>
      </c>
      <c r="H37" s="16">
        <f>F37*G37</f>
        <v/>
      </c>
      <c r="I37" s="14" t="n">
        <v>0</v>
      </c>
      <c r="J37" s="14" t="n">
        <v>1</v>
      </c>
      <c r="K37" s="14" t="n">
        <v>1</v>
      </c>
      <c r="L37" s="16">
        <f>$H37*I37</f>
        <v/>
      </c>
      <c r="M37" s="16">
        <f>$H37*J37</f>
        <v/>
      </c>
      <c r="N37" s="16">
        <f>$H37*K37</f>
        <v/>
      </c>
      <c r="O37" s="12" t="inlineStr">
        <is>
          <t>Medium</t>
        </is>
      </c>
      <c r="P37" s="12" t="inlineStr">
        <is>
          <t>1 week</t>
        </is>
      </c>
      <c r="Q37" s="12" t="inlineStr">
        <is>
          <t>Possible</t>
        </is>
      </c>
      <c r="R37" s="12" t="inlineStr">
        <is>
          <t>n/a</t>
        </is>
      </c>
      <c r="S37" s="13" t="inlineStr">
        <is>
          <t>Tier 1: free casters RTK2go / Emlid Caster ($0). Only Quebec offers free provincial corrections — a Manitoba team will run its own base or pay. Cross-check NRCan's RTK network list.</t>
        </is>
      </c>
    </row>
    <row r="38" ht="28" customHeight="1">
      <c r="A38" s="12" t="inlineStr">
        <is>
          <t>DV-035</t>
        </is>
      </c>
      <c r="B38" s="12" t="inlineStr">
        <is>
          <t>Mapping — Angel</t>
        </is>
      </c>
      <c r="C38" s="12" t="inlineStr">
        <is>
          <t>Sensing — GNSS/INS</t>
        </is>
      </c>
      <c r="D38" s="13" t="inlineStr">
        <is>
          <t>RTK base station (budget)</t>
        </is>
      </c>
      <c r="E38" s="13" t="inlineStr">
        <is>
          <t>ArduSimple or Emlid Reach base + tripod, for own corrections</t>
        </is>
      </c>
      <c r="F38" s="14" t="n">
        <v>1</v>
      </c>
      <c r="G38" s="15" t="n">
        <v>600</v>
      </c>
      <c r="H38" s="16">
        <f>F38*G38</f>
        <v/>
      </c>
      <c r="I38" s="14" t="n">
        <v>0</v>
      </c>
      <c r="J38" s="14" t="n">
        <v>1</v>
      </c>
      <c r="K38" s="14" t="n">
        <v>0</v>
      </c>
      <c r="L38" s="16">
        <f>$H38*I38</f>
        <v/>
      </c>
      <c r="M38" s="16">
        <f>$H38*J38</f>
        <v/>
      </c>
      <c r="N38" s="16">
        <f>$H38*K38</f>
        <v/>
      </c>
      <c r="O38" s="12" t="inlineStr">
        <is>
          <t>Medium</t>
        </is>
      </c>
      <c r="P38" s="12" t="inlineStr">
        <is>
          <t>3-4 weeks</t>
        </is>
      </c>
      <c r="Q38" s="12" t="inlineStr">
        <is>
          <t>No</t>
        </is>
      </c>
      <c r="R38" s="12" t="inlineStr">
        <is>
          <t>n/a</t>
        </is>
      </c>
      <c r="S38" s="13" t="inlineStr">
        <is>
          <t>RTK holds to ~30-50 km from base. Cheaper than a multi-year correction subscription.</t>
        </is>
      </c>
    </row>
    <row r="39" ht="28" customHeight="1">
      <c r="A39" s="12" t="inlineStr">
        <is>
          <t>DV-036</t>
        </is>
      </c>
      <c r="B39" s="12" t="inlineStr">
        <is>
          <t>Mapping — Angel</t>
        </is>
      </c>
      <c r="C39" s="12" t="inlineStr">
        <is>
          <t>Test Equipment</t>
        </is>
      </c>
      <c r="D39" s="13" t="inlineStr">
        <is>
          <t>Optical ground-speed sensor (ground truth)</t>
        </is>
      </c>
      <c r="E39" s="13" t="inlineStr">
        <is>
          <t>Kistler Correvit (or GeneSys ADMA) — slip-free velocity reference</t>
        </is>
      </c>
      <c r="F39" s="14" t="n">
        <v>1</v>
      </c>
      <c r="G39" s="15" t="n">
        <v>6000</v>
      </c>
      <c r="H39" s="16">
        <f>F39*G39</f>
        <v/>
      </c>
      <c r="I39" s="14" t="n">
        <v>0</v>
      </c>
      <c r="J39" s="14" t="n">
        <v>0</v>
      </c>
      <c r="K39" s="14" t="n">
        <v>1</v>
      </c>
      <c r="L39" s="36" t="inlineStr">
        <is>
          <t>SPONSORED?</t>
        </is>
      </c>
      <c r="M39" s="16">
        <f>$H39*J39</f>
        <v/>
      </c>
      <c r="N39" s="16">
        <f>$H39*K39</f>
        <v/>
      </c>
      <c r="O39" s="12" t="inlineStr">
        <is>
          <t>Low</t>
        </is>
      </c>
      <c r="P39" s="12" t="inlineStr">
        <is>
          <t>10-16 weeks</t>
        </is>
      </c>
      <c r="Q39" s="12" t="inlineStr">
        <is>
          <t>Yes — usually sponsored</t>
        </is>
      </c>
      <c r="R39" s="12" t="inlineStr">
        <is>
          <t>n/a</t>
        </is>
      </c>
      <c r="S39" s="13" t="inlineStr">
        <is>
          <t>Validation only, shared with Testing. AMZ and Elefant both ran ground-speed sensors. Skip unless sponsored.</t>
        </is>
      </c>
    </row>
    <row r="40" ht="28" customHeight="1">
      <c r="A40" s="12" t="inlineStr">
        <is>
          <t>DV-037</t>
        </is>
      </c>
      <c r="B40" s="12" t="inlineStr">
        <is>
          <t>Mapping — Angel</t>
        </is>
      </c>
      <c r="C40" s="12" t="inlineStr">
        <is>
          <t>Test Equipment</t>
        </is>
      </c>
      <c r="D40" s="13" t="inlineStr">
        <is>
          <t>Survey-grade RTK rover for map ground truth</t>
        </is>
      </c>
      <c r="E40" s="13" t="inlineStr">
        <is>
          <t>Handheld RTK rover to survey true cone positions on the test track</t>
        </is>
      </c>
      <c r="F40" s="14" t="n">
        <v>1</v>
      </c>
      <c r="G40" s="15" t="n">
        <v>600</v>
      </c>
      <c r="H40" s="16">
        <f>F40*G40</f>
        <v/>
      </c>
      <c r="I40" s="14" t="n">
        <v>0</v>
      </c>
      <c r="J40" s="14" t="n">
        <v>1</v>
      </c>
      <c r="K40" s="14" t="n">
        <v>1</v>
      </c>
      <c r="L40" s="16">
        <f>$H40*I40</f>
        <v/>
      </c>
      <c r="M40" s="16">
        <f>$H40*J40</f>
        <v/>
      </c>
      <c r="N40" s="16">
        <f>$H40*K40</f>
        <v/>
      </c>
      <c r="O40" s="12" t="inlineStr">
        <is>
          <t>High</t>
        </is>
      </c>
      <c r="P40" s="12" t="inlineStr">
        <is>
          <t>3-4 weeks</t>
        </is>
      </c>
      <c r="Q40" s="12" t="inlineStr">
        <is>
          <t>No</t>
        </is>
      </c>
      <c r="R40" s="12" t="inlineStr">
        <is>
          <t>n/a</t>
        </is>
      </c>
      <c r="S40" s="13" t="inlineStr">
        <is>
          <t>You cannot report a mapping RMSE without surveyed cone truth. Target &lt;1m year 1; AMZ achieved 0.29m.</t>
        </is>
      </c>
    </row>
    <row r="41" ht="28" customHeight="1">
      <c r="A41" s="12" t="inlineStr">
        <is>
          <t>DV-038</t>
        </is>
      </c>
      <c r="B41" s="12" t="inlineStr">
        <is>
          <t>Planning — Ced</t>
        </is>
      </c>
      <c r="C41" s="12" t="inlineStr">
        <is>
          <t>Software / License</t>
        </is>
      </c>
      <c r="D41" s="13" t="inlineStr">
        <is>
          <t>FSAE Tire Test Consortium membership</t>
        </is>
      </c>
      <c r="E41" s="13" t="inlineStr">
        <is>
          <t>TTC membership — measured Calspan tire data for Pacejka/Magic Formula fitting</t>
        </is>
      </c>
      <c r="F41" s="14" t="n">
        <v>1</v>
      </c>
      <c r="G41" s="15" t="n">
        <v>500</v>
      </c>
      <c r="H41" s="16">
        <f>F41*G41</f>
        <v/>
      </c>
      <c r="I41" s="14" t="n">
        <v>1</v>
      </c>
      <c r="J41" s="14" t="n">
        <v>1</v>
      </c>
      <c r="K41" s="14" t="n">
        <v>1</v>
      </c>
      <c r="L41" s="36" t="inlineStr">
        <is>
          <t>for VD?</t>
        </is>
      </c>
      <c r="M41" s="16">
        <f>$H41*J41</f>
        <v/>
      </c>
      <c r="N41" s="16">
        <f>$H41*K41</f>
        <v/>
      </c>
      <c r="O41" s="12" t="inlineStr">
        <is>
          <t>High</t>
        </is>
      </c>
      <c r="P41" s="12" t="inlineStr">
        <is>
          <t>2-4 weeks</t>
        </is>
      </c>
      <c r="Q41" s="12" t="inlineStr">
        <is>
          <t>No (team pays)</t>
        </is>
      </c>
      <c r="R41" s="12" t="inlineStr">
        <is>
          <t>n/a</t>
        </is>
      </c>
      <c r="S41" s="13" t="inlineStr">
        <is>
          <t>Essential for a credible vehicle model. Join at fsaettc.org. Cheapest single item with the biggest effect on model fidelity.</t>
        </is>
      </c>
    </row>
    <row r="42">
      <c r="A42" s="12" t="inlineStr">
        <is>
          <t>DV-039</t>
        </is>
      </c>
      <c r="B42" s="12" t="inlineStr">
        <is>
          <t>Planning — Ced</t>
        </is>
      </c>
      <c r="C42" s="12" t="inlineStr">
        <is>
          <t>Software / License</t>
        </is>
      </c>
      <c r="D42" s="13" t="inlineStr">
        <is>
          <t>Lap-time / vehicle dynamics simulation</t>
        </is>
      </c>
      <c r="E42" s="13" t="inlineStr">
        <is>
          <t>OptimumLap (free) + OptimumDynamics licence</t>
        </is>
      </c>
      <c r="F42" s="14" t="n">
        <v>1</v>
      </c>
      <c r="G42" s="15" t="n">
        <v>1000</v>
      </c>
      <c r="H42" s="16">
        <f>F42*G42</f>
        <v/>
      </c>
      <c r="I42" s="14" t="n">
        <v>0</v>
      </c>
      <c r="J42" s="14" t="n">
        <v>1</v>
      </c>
      <c r="K42" s="14" t="n">
        <v>1</v>
      </c>
      <c r="L42" s="16">
        <f>$H42*I42</f>
        <v/>
      </c>
      <c r="M42" s="16">
        <f>$H42*J42</f>
        <v/>
      </c>
      <c r="N42" s="16">
        <f>$H42*K42</f>
        <v/>
      </c>
      <c r="O42" s="12" t="inlineStr">
        <is>
          <t>Medium</t>
        </is>
      </c>
      <c r="P42" s="12" t="inlineStr">
        <is>
          <t>2-4 weeks</t>
        </is>
      </c>
      <c r="Q42" s="12" t="inlineStr">
        <is>
          <t>Yes — OptimumG supports FS teams</t>
        </is>
      </c>
      <c r="R42" s="12" t="inlineStr">
        <is>
          <t>n/a</t>
        </is>
      </c>
      <c r="S42" s="13" t="inlineStr">
        <is>
          <t>OptimumLap alone is free and enough for year 1 speed-profile sanity checks.</t>
        </is>
      </c>
    </row>
    <row r="43" ht="28" customHeight="1">
      <c r="A43" s="12" t="inlineStr">
        <is>
          <t>DV-040</t>
        </is>
      </c>
      <c r="B43" s="12" t="inlineStr">
        <is>
          <t>Planning — Ced</t>
        </is>
      </c>
      <c r="C43" s="12" t="inlineStr">
        <is>
          <t>Software / License</t>
        </is>
      </c>
      <c r="D43" s="13" t="inlineStr">
        <is>
          <t>Optimisation and MPC solver stack</t>
        </is>
      </c>
      <c r="E43" s="13" t="inlineStr">
        <is>
          <t>acados, CasADi, OSQP, HPIPM, TUM global_racetrajectory_optimization, GTSAM, Ceres</t>
        </is>
      </c>
      <c r="F43" s="14" t="n">
        <v>1</v>
      </c>
      <c r="G43" s="15" t="n">
        <v>0</v>
      </c>
      <c r="H43" s="16">
        <f>F43*G43</f>
        <v/>
      </c>
      <c r="I43" s="14" t="n">
        <v>1</v>
      </c>
      <c r="J43" s="14" t="n">
        <v>1</v>
      </c>
      <c r="K43" s="14" t="n">
        <v>1</v>
      </c>
      <c r="L43" s="16">
        <f>$H43*I43</f>
        <v/>
      </c>
      <c r="M43" s="16">
        <f>$H43*J43</f>
        <v/>
      </c>
      <c r="N43" s="16">
        <f>$H43*K43</f>
        <v/>
      </c>
      <c r="O43" s="17" t="inlineStr">
        <is>
          <t>Critical</t>
        </is>
      </c>
      <c r="P43" s="12" t="inlineStr">
        <is>
          <t>Immediate</t>
        </is>
      </c>
      <c r="Q43" s="12" t="inlineStr">
        <is>
          <t>Free / open source</t>
        </is>
      </c>
      <c r="R43" s="12" t="inlineStr">
        <is>
          <t>n/a</t>
        </is>
      </c>
      <c r="S43" s="13" t="inlineStr">
        <is>
          <t>All open source. TUM's minimum-curvature raceline optimiser is the standard offline tool; ETH's MPCC is the reference racing controller.</t>
        </is>
      </c>
    </row>
    <row r="44" ht="28" customHeight="1">
      <c r="A44" s="12" t="inlineStr">
        <is>
          <t>DV-041</t>
        </is>
      </c>
      <c r="B44" s="12" t="inlineStr">
        <is>
          <t>Planning — Ced</t>
        </is>
      </c>
      <c r="C44" s="12" t="inlineStr">
        <is>
          <t>Compute</t>
        </is>
      </c>
      <c r="D44" s="13" t="inlineStr">
        <is>
          <t>Offline optimisation workstation share</t>
        </is>
      </c>
      <c r="E44" s="13" t="inlineStr">
        <is>
          <t>Access to the Perception training box for overnight raceline/MPC tuning runs</t>
        </is>
      </c>
      <c r="F44" s="14" t="n">
        <v>0</v>
      </c>
      <c r="G44" s="15" t="n">
        <v>0</v>
      </c>
      <c r="H44" s="16">
        <f>F44*G44</f>
        <v/>
      </c>
      <c r="I44" s="14" t="n">
        <v>1</v>
      </c>
      <c r="J44" s="14" t="n">
        <v>1</v>
      </c>
      <c r="K44" s="14" t="n">
        <v>1</v>
      </c>
      <c r="L44" s="16">
        <f>$H44*I44</f>
        <v/>
      </c>
      <c r="M44" s="16">
        <f>$H44*J44</f>
        <v/>
      </c>
      <c r="N44" s="16">
        <f>$H44*K44</f>
        <v/>
      </c>
      <c r="O44" s="12" t="inlineStr">
        <is>
          <t>Low</t>
        </is>
      </c>
      <c r="P44" s="12" t="inlineStr">
        <is>
          <t>n/a</t>
        </is>
      </c>
      <c r="Q44" s="12" t="inlineStr">
        <is>
          <t>n/a</t>
        </is>
      </c>
      <c r="R44" s="12" t="inlineStr">
        <is>
          <t>n/a</t>
        </is>
      </c>
      <c r="S44" s="13" t="inlineStr">
        <is>
          <t>No separate purchase — schedule time on the shared training machine. Listed so it is not forgotten in planning.</t>
        </is>
      </c>
    </row>
    <row r="45" ht="28" customHeight="1">
      <c r="A45" s="12" t="inlineStr">
        <is>
          <t>DV-042</t>
        </is>
      </c>
      <c r="B45" s="12" t="inlineStr">
        <is>
          <t>Planning — Ced</t>
        </is>
      </c>
      <c r="C45" s="12" t="inlineStr">
        <is>
          <t>Test Equipment</t>
        </is>
      </c>
      <c r="D45" s="13" t="inlineStr">
        <is>
          <t>Rack-force load cell</t>
        </is>
      </c>
      <c r="E45" s="13" t="inlineStr">
        <is>
          <t>Inline load cell + amplifier to measure real steering rack force before sizing the actuator</t>
        </is>
      </c>
      <c r="F45" s="14" t="n">
        <v>1</v>
      </c>
      <c r="G45" s="15" t="n">
        <v>250</v>
      </c>
      <c r="H45" s="16">
        <f>F45*G45</f>
        <v/>
      </c>
      <c r="I45" s="14" t="n">
        <v>1</v>
      </c>
      <c r="J45" s="14" t="n">
        <v>1</v>
      </c>
      <c r="K45" s="14" t="n">
        <v>1</v>
      </c>
      <c r="L45" s="16">
        <f>$H45*I45</f>
        <v/>
      </c>
      <c r="M45" s="16">
        <f>$H45*J45</f>
        <v/>
      </c>
      <c r="N45" s="16">
        <f>$H45*K45</f>
        <v/>
      </c>
      <c r="O45" s="12" t="inlineStr">
        <is>
          <t>High</t>
        </is>
      </c>
      <c r="P45" s="12" t="inlineStr">
        <is>
          <t>2-3 weeks</t>
        </is>
      </c>
      <c r="Q45" s="12" t="inlineStr">
        <is>
          <t>No</t>
        </is>
      </c>
      <c r="R45" s="12" t="inlineStr">
        <is>
          <t>n/a</t>
        </is>
      </c>
      <c r="S45" s="13" t="inlineStr">
        <is>
          <t>Size the steering actuator from MEASURED rack force, not motor datasheet headlines. Shared item with the Mech/EE interface work.</t>
        </is>
      </c>
    </row>
    <row r="46" ht="28" customHeight="1">
      <c r="A46" s="12" t="inlineStr">
        <is>
          <t>DV-043</t>
        </is>
      </c>
      <c r="B46" s="12" t="inlineStr">
        <is>
          <t>Firmware — Mason</t>
        </is>
      </c>
      <c r="C46" s="12" t="inlineStr">
        <is>
          <t>Compute</t>
        </is>
      </c>
      <c r="D46" s="13" t="inlineStr">
        <is>
          <t>Onboard compute (Tier 1 pick)</t>
        </is>
      </c>
      <c r="E46" s="13" t="inlineStr">
        <is>
          <t>NVIDIA Jetson AGX Orin 64GB Developer Kit — 275 TOPS, 15-60W</t>
        </is>
      </c>
      <c r="F46" s="14" t="n">
        <v>1</v>
      </c>
      <c r="G46" s="15" t="n">
        <v>999</v>
      </c>
      <c r="H46" s="16">
        <f>F46*G46</f>
        <v/>
      </c>
      <c r="I46" s="14" t="n">
        <v>1</v>
      </c>
      <c r="J46" s="14" t="n">
        <v>0</v>
      </c>
      <c r="K46" s="14" t="n">
        <v>0</v>
      </c>
      <c r="L46" s="16">
        <f>$H46*I46</f>
        <v/>
      </c>
      <c r="M46" s="16">
        <f>$H46*J46</f>
        <v/>
      </c>
      <c r="N46" s="16">
        <f>$H46*K46</f>
        <v/>
      </c>
      <c r="O46" s="17" t="inlineStr">
        <is>
          <t>Critical</t>
        </is>
      </c>
      <c r="P46" s="12" t="inlineStr">
        <is>
          <t>3-8 weeks</t>
        </is>
      </c>
      <c r="Q46" s="12" t="inlineStr">
        <is>
          <t>Yes — NVIDIA seeds Jetsons to student teams</t>
        </is>
      </c>
      <c r="R46" s="12" t="inlineStr">
        <is>
          <t>n/a</t>
        </is>
      </c>
      <c r="S46" s="13" t="inlineStr">
        <is>
          <t>List US$1,999 but frequently ~US$999 on promotion. Minimises power/heat/packaging pain vs x86. DisplayPort only.</t>
        </is>
      </c>
    </row>
    <row r="47" ht="28" customHeight="1">
      <c r="A47" s="12" t="inlineStr">
        <is>
          <t>DV-044</t>
        </is>
      </c>
      <c r="B47" s="12" t="inlineStr">
        <is>
          <t>Firmware — Mason</t>
        </is>
      </c>
      <c r="C47" s="12" t="inlineStr">
        <is>
          <t>Compute</t>
        </is>
      </c>
      <c r="D47" s="13" t="inlineStr">
        <is>
          <t>Onboard compute (Tier 2 pick)</t>
        </is>
      </c>
      <c r="E47" s="13" t="inlineStr">
        <is>
          <t>Jetson AGX Orin 64GB module + Connect Tech/Auvidea carrier board + cooling</t>
        </is>
      </c>
      <c r="F47" s="14" t="n">
        <v>1</v>
      </c>
      <c r="G47" s="15" t="n">
        <v>2500</v>
      </c>
      <c r="H47" s="16">
        <f>F47*G47</f>
        <v/>
      </c>
      <c r="I47" s="14" t="n">
        <v>0</v>
      </c>
      <c r="J47" s="14" t="n">
        <v>1</v>
      </c>
      <c r="K47" s="14" t="n">
        <v>0</v>
      </c>
      <c r="L47" s="16">
        <f>$H47*I47</f>
        <v/>
      </c>
      <c r="M47" s="16">
        <f>$H47*J47</f>
        <v/>
      </c>
      <c r="N47" s="16">
        <f>$H47*K47</f>
        <v/>
      </c>
      <c r="O47" s="17" t="inlineStr">
        <is>
          <t>Critical</t>
        </is>
      </c>
      <c r="P47" s="12" t="inlineStr">
        <is>
          <t>6-10 weeks</t>
        </is>
      </c>
      <c r="Q47" s="12" t="inlineStr">
        <is>
          <t>Yes — NVIDIA</t>
        </is>
      </c>
      <c r="R47" s="12" t="inlineStr">
        <is>
          <t>n/a</t>
        </is>
      </c>
      <c r="S47" s="13" t="inlineStr">
        <is>
          <t>Production module + carrier packages far better in a car than the dev kit.</t>
        </is>
      </c>
    </row>
    <row r="48" ht="28" customHeight="1">
      <c r="A48" s="12" t="inlineStr">
        <is>
          <t>DV-045</t>
        </is>
      </c>
      <c r="B48" s="12" t="inlineStr">
        <is>
          <t>Firmware — Mason</t>
        </is>
      </c>
      <c r="C48" s="12" t="inlineStr">
        <is>
          <t>Compute</t>
        </is>
      </c>
      <c r="D48" s="13" t="inlineStr">
        <is>
          <t>Onboard compute (Tier 3 pick)</t>
        </is>
      </c>
      <c r="E48" s="13" t="inlineStr">
        <is>
          <t>Rugged x86 (Neousys/Vecow) + RTX GPU, plus a redundant Jetson AGX Orin</t>
        </is>
      </c>
      <c r="F48" s="14" t="n">
        <v>1</v>
      </c>
      <c r="G48" s="15" t="n">
        <v>8000</v>
      </c>
      <c r="H48" s="16">
        <f>F48*G48</f>
        <v/>
      </c>
      <c r="I48" s="14" t="n">
        <v>0</v>
      </c>
      <c r="J48" s="14" t="n">
        <v>0</v>
      </c>
      <c r="K48" s="14" t="n">
        <v>1</v>
      </c>
      <c r="L48" s="16">
        <f>$H48*I48</f>
        <v/>
      </c>
      <c r="M48" s="16">
        <f>$H48*J48</f>
        <v/>
      </c>
      <c r="N48" s="16">
        <f>$H48*K48</f>
        <v/>
      </c>
      <c r="O48" s="17" t="inlineStr">
        <is>
          <t>Critical</t>
        </is>
      </c>
      <c r="P48" s="12" t="inlineStr">
        <is>
          <t>8-12 weeks</t>
        </is>
      </c>
      <c r="Q48" s="12" t="inlineStr">
        <is>
          <t>Partial</t>
        </is>
      </c>
      <c r="R48" s="12" t="inlineStr">
        <is>
          <t>n/a</t>
        </is>
      </c>
      <c r="S48" s="13" t="inlineStr">
        <is>
          <t>x86+dGPU is proven at this level — Elefant Racing won FS East on a Ryzen 3700X + RTX 2070 Super. Costs power, heat and packaging.</t>
        </is>
      </c>
    </row>
    <row r="49">
      <c r="A49" s="12" t="inlineStr">
        <is>
          <t>DV-046</t>
        </is>
      </c>
      <c r="B49" s="12" t="inlineStr">
        <is>
          <t>Firmware — Mason</t>
        </is>
      </c>
      <c r="C49" s="12" t="inlineStr">
        <is>
          <t>Data / Storage</t>
        </is>
      </c>
      <c r="D49" s="13" t="inlineStr">
        <is>
          <t>Onboard logging NVMe</t>
        </is>
      </c>
      <c r="E49" s="13" t="inlineStr">
        <is>
          <t>2TB NVMe SSD (Tier 1) for rosbag/MCAP capture</t>
        </is>
      </c>
      <c r="F49" s="14" t="n">
        <v>1</v>
      </c>
      <c r="G49" s="15" t="n">
        <v>180</v>
      </c>
      <c r="H49" s="16">
        <f>F49*G49</f>
        <v/>
      </c>
      <c r="I49" s="14" t="n">
        <v>1</v>
      </c>
      <c r="J49" s="14" t="n">
        <v>0</v>
      </c>
      <c r="K49" s="14" t="n">
        <v>0</v>
      </c>
      <c r="L49" s="16">
        <f>$H49*I49</f>
        <v/>
      </c>
      <c r="M49" s="16">
        <f>$H49*J49</f>
        <v/>
      </c>
      <c r="N49" s="16">
        <f>$H49*K49</f>
        <v/>
      </c>
      <c r="O49" s="17" t="inlineStr">
        <is>
          <t>Critical</t>
        </is>
      </c>
      <c r="P49" s="12" t="inlineStr">
        <is>
          <t>1-2 weeks</t>
        </is>
      </c>
      <c r="Q49" s="12" t="inlineStr">
        <is>
          <t>No</t>
        </is>
      </c>
      <c r="R49" s="12" t="inlineStr">
        <is>
          <t>n/a</t>
        </is>
      </c>
      <c r="S49" s="13" t="inlineStr">
        <is>
          <t>LiDAR + multi-camera logs run several GB/min. Expect 1-2TB per full test day — offload nightly.</t>
        </is>
      </c>
    </row>
    <row r="50">
      <c r="A50" s="12" t="inlineStr">
        <is>
          <t>DV-047</t>
        </is>
      </c>
      <c r="B50" s="12" t="inlineStr">
        <is>
          <t>Firmware — Mason</t>
        </is>
      </c>
      <c r="C50" s="12" t="inlineStr">
        <is>
          <t>Data / Storage</t>
        </is>
      </c>
      <c r="D50" s="13" t="inlineStr">
        <is>
          <t>Onboard logging NVMe (high capacity)</t>
        </is>
      </c>
      <c r="E50" s="13" t="inlineStr">
        <is>
          <t>2x 4TB NVMe SSD, hot-swappable carrier</t>
        </is>
      </c>
      <c r="F50" s="14" t="n">
        <v>1</v>
      </c>
      <c r="G50" s="15" t="n">
        <v>600</v>
      </c>
      <c r="H50" s="16">
        <f>F50*G50</f>
        <v/>
      </c>
      <c r="I50" s="14" t="n">
        <v>0</v>
      </c>
      <c r="J50" s="14" t="n">
        <v>1</v>
      </c>
      <c r="K50" s="14" t="n">
        <v>1</v>
      </c>
      <c r="L50" s="16">
        <f>$H50*I50</f>
        <v/>
      </c>
      <c r="M50" s="16">
        <f>$H50*J50</f>
        <v/>
      </c>
      <c r="N50" s="16">
        <f>$H50*K50</f>
        <v/>
      </c>
      <c r="O50" s="17" t="inlineStr">
        <is>
          <t>Critical</t>
        </is>
      </c>
      <c r="P50" s="12" t="inlineStr">
        <is>
          <t>2-3 weeks</t>
        </is>
      </c>
      <c r="Q50" s="12" t="inlineStr">
        <is>
          <t>No</t>
        </is>
      </c>
      <c r="R50" s="12" t="inlineStr">
        <is>
          <t>n/a</t>
        </is>
      </c>
      <c r="S50" s="13" t="inlineStr">
        <is>
          <t>Use MCAP format for rosbags. Storage is the commonest silent cause of lost test days.</t>
        </is>
      </c>
    </row>
    <row r="51" ht="28" customHeight="1">
      <c r="A51" s="12" t="inlineStr">
        <is>
          <t>DV-048</t>
        </is>
      </c>
      <c r="B51" s="12" t="inlineStr">
        <is>
          <t>Firmware — Mason</t>
        </is>
      </c>
      <c r="C51" s="12" t="inlineStr">
        <is>
          <t>Networking / Power</t>
        </is>
      </c>
      <c r="D51" s="13" t="inlineStr">
        <is>
          <t>CAN interface (Tier 1)</t>
        </is>
      </c>
      <c r="E51" s="13" t="inlineStr">
        <is>
          <t>PEAK PCAN-USB / SocketCAN adapter x2</t>
        </is>
      </c>
      <c r="F51" s="14" t="n">
        <v>2</v>
      </c>
      <c r="G51" s="15" t="n">
        <v>125</v>
      </c>
      <c r="H51" s="16">
        <f>F51*G51</f>
        <v/>
      </c>
      <c r="I51" s="14" t="n">
        <v>1</v>
      </c>
      <c r="J51" s="14" t="n">
        <v>0</v>
      </c>
      <c r="K51" s="14" t="n">
        <v>0</v>
      </c>
      <c r="L51" s="16">
        <f>$H51*I51</f>
        <v/>
      </c>
      <c r="M51" s="16">
        <f>$H51*J51</f>
        <v/>
      </c>
      <c r="N51" s="16">
        <f>$H51*K51</f>
        <v/>
      </c>
      <c r="O51" s="17" t="inlineStr">
        <is>
          <t>Critical</t>
        </is>
      </c>
      <c r="P51" s="12" t="inlineStr">
        <is>
          <t>1-2 weeks</t>
        </is>
      </c>
      <c r="Q51" s="12" t="inlineStr">
        <is>
          <t>No</t>
        </is>
      </c>
      <c r="R51" s="12" t="inlineStr">
        <is>
          <t>FSG data logger spec</t>
        </is>
      </c>
      <c r="S51" s="13" t="inlineStr">
        <is>
          <t>You must emit the FSG CAN message set (0x500, 0x501, 0x502, 0x511-0x515) at 100ms — design the DBC around it from day one.</t>
        </is>
      </c>
    </row>
    <row r="52">
      <c r="A52" s="12" t="inlineStr">
        <is>
          <t>DV-049</t>
        </is>
      </c>
      <c r="B52" s="12" t="inlineStr">
        <is>
          <t>Firmware — Mason</t>
        </is>
      </c>
      <c r="C52" s="12" t="inlineStr">
        <is>
          <t>Networking / Power</t>
        </is>
      </c>
      <c r="D52" s="13" t="inlineStr">
        <is>
          <t>CAN interface (Tier 2)</t>
        </is>
      </c>
      <c r="E52" s="13" t="inlineStr">
        <is>
          <t>Kvaser Leaf Pro / Vector VN1610 x2</t>
        </is>
      </c>
      <c r="F52" s="14" t="n">
        <v>2</v>
      </c>
      <c r="G52" s="15" t="n">
        <v>350</v>
      </c>
      <c r="H52" s="16">
        <f>F52*G52</f>
        <v/>
      </c>
      <c r="I52" s="14" t="n">
        <v>0</v>
      </c>
      <c r="J52" s="14" t="n">
        <v>1</v>
      </c>
      <c r="K52" s="14" t="n">
        <v>0</v>
      </c>
      <c r="L52" s="16">
        <f>$H52*I52</f>
        <v/>
      </c>
      <c r="M52" s="16">
        <f>$H52*J52</f>
        <v/>
      </c>
      <c r="N52" s="16">
        <f>$H52*K52</f>
        <v/>
      </c>
      <c r="O52" s="17" t="inlineStr">
        <is>
          <t>Critical</t>
        </is>
      </c>
      <c r="P52" s="12" t="inlineStr">
        <is>
          <t>3-4 weeks</t>
        </is>
      </c>
      <c r="Q52" s="12" t="inlineStr">
        <is>
          <t>Yes — Vector Informatik has a university programme</t>
        </is>
      </c>
      <c r="R52" s="12" t="inlineStr">
        <is>
          <t>FSG data logger spec</t>
        </is>
      </c>
      <c r="S52" s="13" t="inlineStr">
        <is>
          <t>Vector also offers CANoe/CANalyzer licences to FS teams — ask for the bundle.</t>
        </is>
      </c>
    </row>
    <row r="53">
      <c r="A53" s="12" t="inlineStr">
        <is>
          <t>DV-050</t>
        </is>
      </c>
      <c r="B53" s="12" t="inlineStr">
        <is>
          <t>Firmware — Mason</t>
        </is>
      </c>
      <c r="C53" s="12" t="inlineStr">
        <is>
          <t>Networking / Power</t>
        </is>
      </c>
      <c r="D53" s="13" t="inlineStr">
        <is>
          <t>CAN toolchain (Tier 3)</t>
        </is>
      </c>
      <c r="E53" s="13" t="inlineStr">
        <is>
          <t>Vector VN1640 + CANoe/CANalyzer licence</t>
        </is>
      </c>
      <c r="F53" s="14" t="n">
        <v>1</v>
      </c>
      <c r="G53" s="15" t="n">
        <v>2000</v>
      </c>
      <c r="H53" s="16">
        <f>F53*G53</f>
        <v/>
      </c>
      <c r="I53" s="14" t="n">
        <v>0</v>
      </c>
      <c r="J53" s="14" t="n">
        <v>0</v>
      </c>
      <c r="K53" s="14" t="n">
        <v>1</v>
      </c>
      <c r="L53" s="16">
        <f>$H53*I53</f>
        <v/>
      </c>
      <c r="M53" s="16">
        <f>$H53*J53</f>
        <v/>
      </c>
      <c r="N53" s="16">
        <f>$H53*K53</f>
        <v/>
      </c>
      <c r="O53" s="12" t="inlineStr">
        <is>
          <t>High</t>
        </is>
      </c>
      <c r="P53" s="12" t="inlineStr">
        <is>
          <t>4-8 weeks</t>
        </is>
      </c>
      <c r="Q53" s="12" t="inlineStr">
        <is>
          <t>Yes — Vector Informatik</t>
        </is>
      </c>
      <c r="R53" s="12" t="inlineStr">
        <is>
          <t>FSG data logger spec</t>
        </is>
      </c>
      <c r="S53" s="13" t="inlineStr">
        <is>
          <t>Often fully sponsored. Massive time-saver for bus debugging during bring-up.</t>
        </is>
      </c>
    </row>
    <row r="54" ht="28" customHeight="1">
      <c r="A54" s="12" t="inlineStr">
        <is>
          <t>DV-051</t>
        </is>
      </c>
      <c r="B54" s="12" t="inlineStr">
        <is>
          <t>Firmware — Mason</t>
        </is>
      </c>
      <c r="C54" s="12" t="inlineStr">
        <is>
          <t>Networking / Power</t>
        </is>
      </c>
      <c r="D54" s="13" t="inlineStr">
        <is>
          <t>Managed automotive Ethernet switch + PoE</t>
        </is>
      </c>
      <c r="E54" s="13" t="inlineStr">
        <is>
          <t>Industrial managed switch with PoE for sensors, PTP-capable</t>
        </is>
      </c>
      <c r="F54" s="14" t="n">
        <v>1</v>
      </c>
      <c r="G54" s="15" t="n">
        <v>400</v>
      </c>
      <c r="H54" s="16">
        <f>F54*G54</f>
        <v/>
      </c>
      <c r="I54" s="14" t="n">
        <v>1</v>
      </c>
      <c r="J54" s="14" t="n">
        <v>0</v>
      </c>
      <c r="K54" s="14" t="n">
        <v>0</v>
      </c>
      <c r="L54" s="16">
        <f>$H54*I54</f>
        <v/>
      </c>
      <c r="M54" s="16">
        <f>$H54*J54</f>
        <v/>
      </c>
      <c r="N54" s="16">
        <f>$H54*K54</f>
        <v/>
      </c>
      <c r="O54" s="17" t="inlineStr">
        <is>
          <t>Critical</t>
        </is>
      </c>
      <c r="P54" s="12" t="inlineStr">
        <is>
          <t>2-4 weeks</t>
        </is>
      </c>
      <c r="Q54" s="12" t="inlineStr">
        <is>
          <t>No</t>
        </is>
      </c>
      <c r="R54" s="12" t="inlineStr">
        <is>
          <t>n/a</t>
        </is>
      </c>
      <c r="S54" s="13" t="inlineStr">
        <is>
          <t>Route Ethernet away from HV cabling; shield and ground for tractive-system EMI.</t>
        </is>
      </c>
    </row>
    <row r="55" ht="28" customHeight="1">
      <c r="A55" s="12" t="inlineStr">
        <is>
          <t>DV-052</t>
        </is>
      </c>
      <c r="B55" s="12" t="inlineStr">
        <is>
          <t>Firmware — Mason</t>
        </is>
      </c>
      <c r="C55" s="12" t="inlineStr">
        <is>
          <t>Networking / Power</t>
        </is>
      </c>
      <c r="D55" s="13" t="inlineStr">
        <is>
          <t>Managed switch + PTP grandmaster</t>
        </is>
      </c>
      <c r="E55" s="13" t="inlineStr">
        <is>
          <t>Higher-port managed switch + hardware PTP/gPTP time sync</t>
        </is>
      </c>
      <c r="F55" s="14" t="n">
        <v>1</v>
      </c>
      <c r="G55" s="15" t="n">
        <v>900</v>
      </c>
      <c r="H55" s="16">
        <f>F55*G55</f>
        <v/>
      </c>
      <c r="I55" s="14" t="n">
        <v>0</v>
      </c>
      <c r="J55" s="14" t="n">
        <v>1</v>
      </c>
      <c r="K55" s="14" t="n">
        <v>1</v>
      </c>
      <c r="L55" s="16">
        <f>$H55*I55</f>
        <v/>
      </c>
      <c r="M55" s="16">
        <f>$H55*J55</f>
        <v/>
      </c>
      <c r="N55" s="16">
        <f>$H55*K55</f>
        <v/>
      </c>
      <c r="O55" s="12" t="inlineStr">
        <is>
          <t>High</t>
        </is>
      </c>
      <c r="P55" s="12" t="inlineStr">
        <is>
          <t>3-5 weeks</t>
        </is>
      </c>
      <c r="Q55" s="12" t="inlineStr">
        <is>
          <t>No</t>
        </is>
      </c>
      <c r="R55" s="12" t="inlineStr">
        <is>
          <t>n/a</t>
        </is>
      </c>
      <c r="S55" s="13" t="inlineStr">
        <is>
          <t>Hardware time sync is what makes LiDAR/camera/IMU fusion trustworthy at speed.</t>
        </is>
      </c>
    </row>
    <row r="56" ht="28" customHeight="1">
      <c r="A56" s="12" t="inlineStr">
        <is>
          <t>DV-053</t>
        </is>
      </c>
      <c r="B56" s="12" t="inlineStr">
        <is>
          <t>Firmware — Mason</t>
        </is>
      </c>
      <c r="C56" s="12" t="inlineStr">
        <is>
          <t>Networking / Power</t>
        </is>
      </c>
      <c r="D56" s="13" t="inlineStr">
        <is>
          <t>Wide-input DC-DC converter (500W)</t>
        </is>
      </c>
      <c r="E56" s="13" t="inlineStr">
        <is>
          <t>Vicor / Traco / MeanWell rugged automotive DC-DC from LV bus</t>
        </is>
      </c>
      <c r="F56" s="14" t="n">
        <v>1</v>
      </c>
      <c r="G56" s="15" t="n">
        <v>350</v>
      </c>
      <c r="H56" s="16">
        <f>F56*G56</f>
        <v/>
      </c>
      <c r="I56" s="14" t="n">
        <v>1</v>
      </c>
      <c r="J56" s="14" t="n">
        <v>0</v>
      </c>
      <c r="K56" s="14" t="n">
        <v>0</v>
      </c>
      <c r="L56" s="16" t="n"/>
      <c r="M56" s="16">
        <f>$H56*J56</f>
        <v/>
      </c>
      <c r="N56" s="16">
        <f>$H56*K56</f>
        <v/>
      </c>
      <c r="O56" s="17" t="inlineStr">
        <is>
          <t>Critical</t>
        </is>
      </c>
      <c r="P56" s="12" t="inlineStr">
        <is>
          <t>3-4 weeks</t>
        </is>
      </c>
      <c r="Q56" s="12" t="inlineStr">
        <is>
          <t>Possible</t>
        </is>
      </c>
      <c r="R56" s="12" t="inlineStr">
        <is>
          <t>n/a</t>
        </is>
      </c>
      <c r="S56" s="13" t="inlineStr">
        <is>
          <t>Budget the AS load: Jetson ~60W + LiDAR ~15W + cameras + INS + switch + actuators. Leave 300-500W headroom.</t>
        </is>
      </c>
    </row>
    <row r="57">
      <c r="A57" s="12" t="inlineStr">
        <is>
          <t>DV-054</t>
        </is>
      </c>
      <c r="B57" s="12" t="inlineStr">
        <is>
          <t>Firmware — Mason</t>
        </is>
      </c>
      <c r="C57" s="12" t="inlineStr">
        <is>
          <t>Networking / Power</t>
        </is>
      </c>
      <c r="D57" s="13" t="inlineStr">
        <is>
          <t>Wide-input DC-DC converter (1kW)</t>
        </is>
      </c>
      <c r="E57" s="13" t="inlineStr">
        <is>
          <t>1kW automotive DC-DC for x86+dGPU compute</t>
        </is>
      </c>
      <c r="F57" s="14" t="n">
        <v>1</v>
      </c>
      <c r="G57" s="15" t="n">
        <v>700</v>
      </c>
      <c r="H57" s="16">
        <f>F57*G57</f>
        <v/>
      </c>
      <c r="I57" s="14" t="n">
        <v>0</v>
      </c>
      <c r="J57" s="14" t="n">
        <v>1</v>
      </c>
      <c r="K57" s="14" t="n">
        <v>1</v>
      </c>
      <c r="L57" s="16">
        <f>$H57*I57</f>
        <v/>
      </c>
      <c r="M57" s="16">
        <f>$H57*J57</f>
        <v/>
      </c>
      <c r="N57" s="16">
        <f>$H57*K57</f>
        <v/>
      </c>
      <c r="O57" s="17" t="inlineStr">
        <is>
          <t>Critical</t>
        </is>
      </c>
      <c r="P57" s="12" t="inlineStr">
        <is>
          <t>4-6 weeks</t>
        </is>
      </c>
      <c r="Q57" s="12" t="inlineStr">
        <is>
          <t>Possible</t>
        </is>
      </c>
      <c r="R57" s="12" t="inlineStr">
        <is>
          <t>n/a</t>
        </is>
      </c>
      <c r="S57" s="13" t="inlineStr">
        <is>
          <t>An x86+dGPU stack can approach 1kW. Elefant Racing ran a 1000W DC-DC.</t>
        </is>
      </c>
    </row>
    <row r="58">
      <c r="A58" s="12" t="inlineStr">
        <is>
          <t>DV-055</t>
        </is>
      </c>
      <c r="B58" s="12" t="inlineStr">
        <is>
          <t>Firmware — Mason</t>
        </is>
      </c>
      <c r="C58" s="12" t="inlineStr">
        <is>
          <t>Networking / Power</t>
        </is>
      </c>
      <c r="D58" s="13" t="inlineStr">
        <is>
          <t>LV power distribution + fusing</t>
        </is>
      </c>
      <c r="E58" s="13" t="inlineStr">
        <is>
          <t>PDU, fuses, breakers, bus bars for the added AS loads</t>
        </is>
      </c>
      <c r="F58" s="14" t="n">
        <v>1</v>
      </c>
      <c r="G58" s="15" t="n">
        <v>300</v>
      </c>
      <c r="H58" s="16">
        <f>F58*G58</f>
        <v/>
      </c>
      <c r="I58" s="14" t="n">
        <v>1</v>
      </c>
      <c r="J58" s="14" t="n">
        <v>1</v>
      </c>
      <c r="K58" s="14" t="n">
        <v>1</v>
      </c>
      <c r="L58" s="16" t="n"/>
      <c r="M58" s="16">
        <f>$H58*J58</f>
        <v/>
      </c>
      <c r="N58" s="16">
        <f>$H58*K58</f>
        <v/>
      </c>
      <c r="O58" s="17" t="inlineStr">
        <is>
          <t>Critical</t>
        </is>
      </c>
      <c r="P58" s="12" t="inlineStr">
        <is>
          <t>2-3 weeks</t>
        </is>
      </c>
      <c r="Q58" s="12" t="inlineStr">
        <is>
          <t>No</t>
        </is>
      </c>
      <c r="R58" s="12" t="inlineStr">
        <is>
          <t>FSAE EV rules</t>
        </is>
      </c>
      <c r="S58" s="13" t="inlineStr">
        <is>
          <t>Existing EV PDU will need rework — plan this with the sparkies early.</t>
        </is>
      </c>
    </row>
    <row r="59" ht="28" customHeight="1">
      <c r="A59" s="12" t="inlineStr">
        <is>
          <t>DV-056</t>
        </is>
      </c>
      <c r="B59" s="12" t="inlineStr">
        <is>
          <t>Firmware — Mason</t>
        </is>
      </c>
      <c r="C59" s="12" t="inlineStr">
        <is>
          <t>Networking / Power</t>
        </is>
      </c>
      <c r="D59" s="13" t="inlineStr">
        <is>
          <t>Connector + crimp tooling kit</t>
        </is>
      </c>
      <c r="E59" s="13" t="inlineStr">
        <is>
          <t>Deutsch DTM / Autosport / TE / Amphenol kit plus proper crimpers</t>
        </is>
      </c>
      <c r="F59" s="14" t="n">
        <v>1</v>
      </c>
      <c r="G59" s="15" t="n">
        <v>600</v>
      </c>
      <c r="H59" s="16">
        <f>F59*G59</f>
        <v/>
      </c>
      <c r="I59" s="14" t="n">
        <v>1</v>
      </c>
      <c r="J59" s="14" t="n">
        <v>1</v>
      </c>
      <c r="K59" s="14" t="n">
        <v>1</v>
      </c>
      <c r="L59" s="16">
        <f>$H59*I59</f>
        <v/>
      </c>
      <c r="M59" s="16">
        <f>$H59*J59</f>
        <v/>
      </c>
      <c r="N59" s="16">
        <f>$H59*K59</f>
        <v/>
      </c>
      <c r="O59" s="17" t="inlineStr">
        <is>
          <t>Critical</t>
        </is>
      </c>
      <c r="P59" s="12" t="inlineStr">
        <is>
          <t>2-3 weeks</t>
        </is>
      </c>
      <c r="Q59" s="12" t="inlineStr">
        <is>
          <t>Possible</t>
        </is>
      </c>
      <c r="R59" s="12" t="inlineStr">
        <is>
          <t>n/a</t>
        </is>
      </c>
      <c r="S59" s="13" t="inlineStr">
        <is>
          <t>Bad crimps cause more DNFs than bad algorithms. Buy the real crimp tools.</t>
        </is>
      </c>
    </row>
    <row r="60" ht="28" customHeight="1">
      <c r="A60" s="12" t="inlineStr">
        <is>
          <t>DV-057</t>
        </is>
      </c>
      <c r="B60" s="12" t="inlineStr">
        <is>
          <t>Firmware — Mason</t>
        </is>
      </c>
      <c r="C60" s="12" t="inlineStr">
        <is>
          <t>Networking / Power</t>
        </is>
      </c>
      <c r="D60" s="13" t="inlineStr">
        <is>
          <t>Shielded Ethernet / GMSL2 cabling + glands</t>
        </is>
      </c>
      <c r="E60" s="13" t="inlineStr">
        <is>
          <t>Shielded cabling, right-angle connectors, strain relief</t>
        </is>
      </c>
      <c r="F60" s="14" t="n">
        <v>1</v>
      </c>
      <c r="G60" s="15" t="n">
        <v>300</v>
      </c>
      <c r="H60" s="16">
        <f>F60*G60</f>
        <v/>
      </c>
      <c r="I60" s="14" t="n">
        <v>1</v>
      </c>
      <c r="J60" s="14" t="n">
        <v>1</v>
      </c>
      <c r="K60" s="14" t="n">
        <v>1</v>
      </c>
      <c r="L60" s="16">
        <f>$H60*I60</f>
        <v/>
      </c>
      <c r="M60" s="16">
        <f>$H60*J60</f>
        <v/>
      </c>
      <c r="N60" s="16">
        <f>$H60*K60</f>
        <v/>
      </c>
      <c r="O60" s="12" t="inlineStr">
        <is>
          <t>High</t>
        </is>
      </c>
      <c r="P60" s="12" t="inlineStr">
        <is>
          <t>2-3 weeks</t>
        </is>
      </c>
      <c r="Q60" s="12" t="inlineStr">
        <is>
          <t>No</t>
        </is>
      </c>
      <c r="R60" s="12" t="inlineStr">
        <is>
          <t>n/a</t>
        </is>
      </c>
      <c r="S60" s="13" t="inlineStr">
        <is>
          <t>Keep sensor data lines physically separated from HV runs.</t>
        </is>
      </c>
    </row>
    <row r="61" ht="28" customHeight="1">
      <c r="A61" s="12" t="inlineStr">
        <is>
          <t>DV-058</t>
        </is>
      </c>
      <c r="B61" s="12" t="inlineStr">
        <is>
          <t>Firmware — Mason</t>
        </is>
      </c>
      <c r="C61" s="12" t="inlineStr">
        <is>
          <t>Compute</t>
        </is>
      </c>
      <c r="D61" s="13" t="inlineStr">
        <is>
          <t>Microcontroller dev boards</t>
        </is>
      </c>
      <c r="E61" s="13" t="inlineStr">
        <is>
          <t>STM32 Nucleo / Teensy 4.1 x5 for real-time control and state machine work</t>
        </is>
      </c>
      <c r="F61" s="14" t="n">
        <v>5</v>
      </c>
      <c r="G61" s="15" t="n">
        <v>40</v>
      </c>
      <c r="H61" s="16">
        <f>F61*G61</f>
        <v/>
      </c>
      <c r="I61" s="14" t="n">
        <v>1</v>
      </c>
      <c r="J61" s="14" t="n">
        <v>1</v>
      </c>
      <c r="K61" s="14" t="n">
        <v>1</v>
      </c>
      <c r="L61" s="16" t="n"/>
      <c r="M61" s="16">
        <f>$H61*J61</f>
        <v/>
      </c>
      <c r="N61" s="16">
        <f>$H61*K61</f>
        <v/>
      </c>
      <c r="O61" s="12" t="inlineStr">
        <is>
          <t>High</t>
        </is>
      </c>
      <c r="P61" s="12" t="inlineStr">
        <is>
          <t>1-2 weeks</t>
        </is>
      </c>
      <c r="Q61" s="12" t="inlineStr">
        <is>
          <t>No</t>
        </is>
      </c>
      <c r="R61" s="12" t="inlineStr">
        <is>
          <t>n/a</t>
        </is>
      </c>
      <c r="S61" s="13" t="inlineStr">
        <is>
          <t>Real-time control belongs on MCUs, not on the Jetson. Run PREEMPT_RT on the main compute.</t>
        </is>
      </c>
    </row>
    <row r="62" ht="28" customHeight="1">
      <c r="A62" s="12" t="inlineStr">
        <is>
          <t>DV-059</t>
        </is>
      </c>
      <c r="B62" s="12" t="inlineStr">
        <is>
          <t>Firmware — Mason</t>
        </is>
      </c>
      <c r="C62" s="12" t="inlineStr">
        <is>
          <t>Compute</t>
        </is>
      </c>
      <c r="D62" s="13" t="inlineStr">
        <is>
          <t>Safety-oriented MCU dev kit</t>
        </is>
      </c>
      <c r="E62" s="13" t="inlineStr">
        <is>
          <t>NXP S32K automotive MCU dev kit for EBS supervisor logic</t>
        </is>
      </c>
      <c r="F62" s="14" t="n">
        <v>1</v>
      </c>
      <c r="G62" s="15" t="n">
        <v>150</v>
      </c>
      <c r="H62" s="16">
        <f>F62*G62</f>
        <v/>
      </c>
      <c r="I62" s="14" t="n">
        <v>1</v>
      </c>
      <c r="J62" s="14" t="n">
        <v>1</v>
      </c>
      <c r="K62" s="14" t="n">
        <v>1</v>
      </c>
      <c r="L62" s="16">
        <f>$H62*I62</f>
        <v/>
      </c>
      <c r="M62" s="16">
        <f>$H62*J62</f>
        <v/>
      </c>
      <c r="N62" s="16">
        <f>$H62*K62</f>
        <v/>
      </c>
      <c r="O62" s="17" t="inlineStr">
        <is>
          <t>Critical</t>
        </is>
      </c>
      <c r="P62" s="12" t="inlineStr">
        <is>
          <t>2-3 weeks</t>
        </is>
      </c>
      <c r="Q62" s="12" t="inlineStr">
        <is>
          <t>Possible — NXP</t>
        </is>
      </c>
      <c r="R62" s="12" t="inlineStr">
        <is>
          <t>FSG EBS reference design</t>
        </is>
      </c>
      <c r="S62" s="13" t="inlineStr">
        <is>
          <t>Pairs with the non-programmable logic latch; scrutineers will ask to see the failure analysis.</t>
        </is>
      </c>
    </row>
    <row r="63" ht="28" customHeight="1">
      <c r="A63" s="12" t="inlineStr">
        <is>
          <t>DV-060</t>
        </is>
      </c>
      <c r="B63" s="12" t="inlineStr">
        <is>
          <t>Firmware — Mason</t>
        </is>
      </c>
      <c r="C63" s="12" t="inlineStr">
        <is>
          <t>Safety / Rules Hardware</t>
        </is>
      </c>
      <c r="D63" s="13" t="inlineStr">
        <is>
          <t>EBS supervisor board (non-programmable logic)</t>
        </is>
      </c>
      <c r="E63" s="13" t="inlineStr">
        <is>
          <t>74xx-series latch + plausibility monitoring, custom PCB fab + assembly</t>
        </is>
      </c>
      <c r="F63" s="14" t="n">
        <v>1</v>
      </c>
      <c r="G63" s="15" t="n">
        <v>400</v>
      </c>
      <c r="H63" s="16">
        <f>F63*G63</f>
        <v/>
      </c>
      <c r="I63" s="14" t="n">
        <v>1</v>
      </c>
      <c r="J63" s="14" t="n">
        <v>1</v>
      </c>
      <c r="K63" s="14" t="n">
        <v>1</v>
      </c>
      <c r="L63" s="16">
        <f>$H63*I63</f>
        <v/>
      </c>
      <c r="M63" s="16">
        <f>$H63*J63</f>
        <v/>
      </c>
      <c r="N63" s="16">
        <f>$H63*K63</f>
        <v/>
      </c>
      <c r="O63" s="17" t="inlineStr">
        <is>
          <t>Critical</t>
        </is>
      </c>
      <c r="P63" s="12" t="inlineStr">
        <is>
          <t>4-6 weeks</t>
        </is>
      </c>
      <c r="Q63" s="12" t="inlineStr">
        <is>
          <t>No</t>
        </is>
      </c>
      <c r="R63" s="12" t="inlineStr">
        <is>
          <t>FSG EBS reference design</t>
        </is>
      </c>
      <c r="S63" s="13" t="inlineStr">
        <is>
          <t>The FSG reference design (Stollberger/Gebhardt) specifies NON-PROGRAMMABLE logic for the EBS latch. Do not implement this purely in software.</t>
        </is>
      </c>
    </row>
    <row r="64" ht="28" customHeight="1">
      <c r="A64" s="12" t="inlineStr">
        <is>
          <t>DV-061</t>
        </is>
      </c>
      <c r="B64" s="12" t="inlineStr">
        <is>
          <t>Firmware — Mason</t>
        </is>
      </c>
      <c r="C64" s="12" t="inlineStr">
        <is>
          <t>Safety / Rules Hardware</t>
        </is>
      </c>
      <c r="D64" s="13" t="inlineStr">
        <is>
          <t>DV interface PCB (fab + assembly)</t>
        </is>
      </c>
      <c r="E64" s="13" t="inlineStr">
        <is>
          <t>Custom board tying shutdown circuit, relays, ASSI, AMI, sensors (JLCPCB/PCBWay, 3 spins)</t>
        </is>
      </c>
      <c r="F64" s="14" t="n">
        <v>1</v>
      </c>
      <c r="G64" s="15" t="n">
        <v>800</v>
      </c>
      <c r="H64" s="16">
        <f>F64*G64</f>
        <v/>
      </c>
      <c r="I64" s="14" t="n">
        <v>1</v>
      </c>
      <c r="J64" s="14" t="n">
        <v>1</v>
      </c>
      <c r="K64" s="14" t="n">
        <v>1</v>
      </c>
      <c r="L64" s="16">
        <f>$H64*I64</f>
        <v/>
      </c>
      <c r="M64" s="16">
        <f>$H64*J64</f>
        <v/>
      </c>
      <c r="N64" s="16">
        <f>$H64*K64</f>
        <v/>
      </c>
      <c r="O64" s="17" t="inlineStr">
        <is>
          <t>Critical</t>
        </is>
      </c>
      <c r="P64" s="12" t="inlineStr">
        <is>
          <t>3-5 weeks per spin</t>
        </is>
      </c>
      <c r="Q64" s="12" t="inlineStr">
        <is>
          <t>No</t>
        </is>
      </c>
      <c r="R64" s="12" t="inlineStr">
        <is>
          <t>FSAE DV; FSG DS</t>
        </is>
      </c>
      <c r="S64" s="13" t="inlineStr">
        <is>
          <t>Budget three revisions. Order spares of every connector on it.</t>
        </is>
      </c>
    </row>
    <row r="65" ht="28" customHeight="1">
      <c r="A65" s="12" t="inlineStr">
        <is>
          <t>DV-062</t>
        </is>
      </c>
      <c r="B65" s="12" t="inlineStr">
        <is>
          <t>Firmware — Mason</t>
        </is>
      </c>
      <c r="C65" s="12" t="inlineStr">
        <is>
          <t>Sensing — Other</t>
        </is>
      </c>
      <c r="D65" s="13" t="inlineStr">
        <is>
          <t>Steering angle absolute encoder</t>
        </is>
      </c>
      <c r="E65" s="13" t="inlineStr">
        <is>
          <t>Magnetic absolute encoder (RLS / Bourns / CUI) on column or rack</t>
        </is>
      </c>
      <c r="F65" s="14" t="n">
        <v>1</v>
      </c>
      <c r="G65" s="15" t="n">
        <v>150</v>
      </c>
      <c r="H65" s="16">
        <f>F65*G65</f>
        <v/>
      </c>
      <c r="I65" s="14" t="n">
        <v>1</v>
      </c>
      <c r="J65" s="14" t="n">
        <v>1</v>
      </c>
      <c r="K65" s="14" t="n">
        <v>1</v>
      </c>
      <c r="L65" s="16">
        <f>$H65*I65</f>
        <v/>
      </c>
      <c r="M65" s="16">
        <f>$H65*J65</f>
        <v/>
      </c>
      <c r="N65" s="16">
        <f>$H65*K65</f>
        <v/>
      </c>
      <c r="O65" s="17" t="inlineStr">
        <is>
          <t>Critical</t>
        </is>
      </c>
      <c r="P65" s="12" t="inlineStr">
        <is>
          <t>2-3 weeks</t>
        </is>
      </c>
      <c r="Q65" s="12" t="inlineStr">
        <is>
          <t>No</t>
        </is>
      </c>
      <c r="R65" s="12" t="inlineStr">
        <is>
          <t>FSG data logger spec</t>
        </is>
      </c>
      <c r="S65" s="13" t="inlineStr">
        <is>
          <t>Rules require logging steering angle actual vs target. Absolute, not incremental.</t>
        </is>
      </c>
    </row>
    <row r="66">
      <c r="A66" s="12" t="inlineStr">
        <is>
          <t>DV-063</t>
        </is>
      </c>
      <c r="B66" s="12" t="inlineStr">
        <is>
          <t>Firmware — Mason</t>
        </is>
      </c>
      <c r="C66" s="12" t="inlineStr">
        <is>
          <t>Compute</t>
        </is>
      </c>
      <c r="D66" s="13" t="inlineStr">
        <is>
          <t>Compute cooling + vibration isolation</t>
        </is>
      </c>
      <c r="E66" s="13" t="inlineStr">
        <is>
          <t>Ventilated enclosure, fans, heatsinks, wire-rope isolators</t>
        </is>
      </c>
      <c r="F66" s="14" t="n">
        <v>1</v>
      </c>
      <c r="G66" s="15" t="n">
        <v>650</v>
      </c>
      <c r="H66" s="16">
        <f>F66*G66</f>
        <v/>
      </c>
      <c r="I66" s="14" t="n">
        <v>1</v>
      </c>
      <c r="J66" s="14" t="n">
        <v>1</v>
      </c>
      <c r="K66" s="14" t="n">
        <v>1</v>
      </c>
      <c r="L66" s="16">
        <f>$H66*I66</f>
        <v/>
      </c>
      <c r="M66" s="16">
        <f>$H66*J66</f>
        <v/>
      </c>
      <c r="N66" s="16">
        <f>$H66*K66</f>
        <v/>
      </c>
      <c r="O66" s="12" t="inlineStr">
        <is>
          <t>High</t>
        </is>
      </c>
      <c r="P66" s="12" t="inlineStr">
        <is>
          <t>3-4 weeks</t>
        </is>
      </c>
      <c r="Q66" s="12" t="inlineStr">
        <is>
          <t>No</t>
        </is>
      </c>
      <c r="R66" s="12" t="inlineStr">
        <is>
          <t>n/a</t>
        </is>
      </c>
      <c r="S66" s="13" t="inlineStr">
        <is>
          <t>Elefant used ventilated side boxes. Keep the compute off sprung-mass hot spots.</t>
        </is>
      </c>
    </row>
    <row r="67" ht="28" customHeight="1">
      <c r="A67" s="12" t="inlineStr">
        <is>
          <t>DV-064</t>
        </is>
      </c>
      <c r="B67" s="12" t="inlineStr">
        <is>
          <t>Firmware — Mason</t>
        </is>
      </c>
      <c r="C67" s="12" t="inlineStr">
        <is>
          <t>Tooling / Bench</t>
        </is>
      </c>
      <c r="D67" s="13" t="inlineStr">
        <is>
          <t>Electronics bench</t>
        </is>
      </c>
      <c r="E67" s="13" t="inlineStr">
        <is>
          <t>Bench PSU, 4ch oscilloscope, logic analyzer, soldering/rework station, multimeters</t>
        </is>
      </c>
      <c r="F67" s="14" t="n">
        <v>1</v>
      </c>
      <c r="G67" s="15" t="n">
        <v>2500</v>
      </c>
      <c r="H67" s="16">
        <f>F67*G67</f>
        <v/>
      </c>
      <c r="I67" s="14" t="n">
        <v>0</v>
      </c>
      <c r="J67" s="14" t="n">
        <v>1</v>
      </c>
      <c r="K67" s="14" t="n">
        <v>1</v>
      </c>
      <c r="L67" s="16">
        <f>$H67*I67</f>
        <v/>
      </c>
      <c r="M67" s="16">
        <f>$H67*J67</f>
        <v/>
      </c>
      <c r="N67" s="16">
        <f>$H67*K67</f>
        <v/>
      </c>
      <c r="O67" s="12" t="inlineStr">
        <is>
          <t>High</t>
        </is>
      </c>
      <c r="P67" s="12" t="inlineStr">
        <is>
          <t>3-4 weeks</t>
        </is>
      </c>
      <c r="Q67" s="12" t="inlineStr">
        <is>
          <t>Possible (Keysight/Rigol edu pricing)</t>
        </is>
      </c>
      <c r="R67" s="12" t="inlineStr">
        <is>
          <t>n/a</t>
        </is>
      </c>
      <c r="S67" s="13" t="inlineStr">
        <is>
          <t>Tier 1: borrow the ECE department's bench ($0). This is the single biggest quality-of-life purchase for bring-up.</t>
        </is>
      </c>
    </row>
    <row r="68" ht="28" customHeight="1">
      <c r="A68" s="12" t="inlineStr">
        <is>
          <t>DV-065</t>
        </is>
      </c>
      <c r="B68" s="12" t="inlineStr">
        <is>
          <t>Firmware — Mason</t>
        </is>
      </c>
      <c r="C68" s="12" t="inlineStr">
        <is>
          <t>Safety / Rules Hardware</t>
        </is>
      </c>
      <c r="D68" s="13" t="inlineStr">
        <is>
          <t>DMI / dash display</t>
        </is>
      </c>
      <c r="E68" s="13" t="inlineStr">
        <is>
          <t>Small ruggedised display for Driverless Mission Indicator + status</t>
        </is>
      </c>
      <c r="F68" s="14" t="n">
        <v>1</v>
      </c>
      <c r="G68" s="15" t="n">
        <v>200</v>
      </c>
      <c r="H68" s="16">
        <f>F68*G68</f>
        <v/>
      </c>
      <c r="I68" s="14" t="n">
        <v>1</v>
      </c>
      <c r="J68" s="14" t="n">
        <v>1</v>
      </c>
      <c r="K68" s="14" t="n">
        <v>1</v>
      </c>
      <c r="L68" s="16" t="n"/>
      <c r="M68" s="16">
        <f>$H68*J68</f>
        <v/>
      </c>
      <c r="N68" s="16">
        <f>$H68*K68</f>
        <v/>
      </c>
      <c r="O68" s="12" t="inlineStr">
        <is>
          <t>High</t>
        </is>
      </c>
      <c r="P68" s="12" t="inlineStr">
        <is>
          <t>2-3 weeks</t>
        </is>
      </c>
      <c r="Q68" s="12" t="inlineStr">
        <is>
          <t>No</t>
        </is>
      </c>
      <c r="R68" s="12" t="inlineStr">
        <is>
          <t>FSAE DV; FSG DS</t>
        </is>
      </c>
      <c r="S68" s="13" t="inlineStr">
        <is>
          <t>Firmware responsibility #7 on the org chart.</t>
        </is>
      </c>
    </row>
    <row r="69" ht="28" customHeight="1">
      <c r="A69" s="12" t="inlineStr">
        <is>
          <t>DV-066</t>
        </is>
      </c>
      <c r="B69" s="18" t="inlineStr">
        <is>
          <t>Mech/EE Interface — UNASSIGNED (DSO coordinates)</t>
        </is>
      </c>
      <c r="C69" s="12" t="inlineStr">
        <is>
          <t>Actuation — Steering</t>
        </is>
      </c>
      <c r="D69" s="13" t="inlineStr">
        <is>
          <t>Steering actuator (Tier 1 pick)</t>
        </is>
      </c>
      <c r="E69" s="13" t="inlineStr">
        <is>
          <t>Salvaged automotive EPS column motor (Prius/Corolla/VW) + ODrive or custom driver</t>
        </is>
      </c>
      <c r="F69" s="14" t="n">
        <v>1</v>
      </c>
      <c r="G69" s="15" t="n">
        <v>900</v>
      </c>
      <c r="H69" s="16">
        <f>F69*G69</f>
        <v/>
      </c>
      <c r="I69" s="14" t="n">
        <v>1</v>
      </c>
      <c r="J69" s="14" t="n">
        <v>0</v>
      </c>
      <c r="K69" s="14" t="n">
        <v>0</v>
      </c>
      <c r="L69" s="16">
        <f>$H69*I69</f>
        <v/>
      </c>
      <c r="M69" s="16">
        <f>$H69*J69</f>
        <v/>
      </c>
      <c r="N69" s="16">
        <f>$H69*K69</f>
        <v/>
      </c>
      <c r="O69" s="17" t="inlineStr">
        <is>
          <t>Critical</t>
        </is>
      </c>
      <c r="P69" s="12" t="inlineStr">
        <is>
          <t>4-8 weeks + reverse engineering</t>
        </is>
      </c>
      <c r="Q69" s="12" t="inlineStr">
        <is>
          <t>No</t>
        </is>
      </c>
      <c r="R69" s="12" t="inlineStr">
        <is>
          <t>FSAE DV; FSG DS</t>
        </is>
      </c>
      <c r="S69" s="13" t="inlineStr">
        <is>
          <t>Cheapest hardware, most software risk — you must reverse-engineer the CAN/torque-sensor protocol. Manual steering must remain possible with ASMS OFF and nothing removed.</t>
        </is>
      </c>
    </row>
    <row r="70" ht="28" customHeight="1">
      <c r="A70" s="12" t="inlineStr">
        <is>
          <t>DV-067</t>
        </is>
      </c>
      <c r="B70" s="18" t="inlineStr">
        <is>
          <t>Mech/EE Interface — UNASSIGNED (DSO coordinates)</t>
        </is>
      </c>
      <c r="C70" s="12" t="inlineStr">
        <is>
          <t>Actuation — Steering</t>
        </is>
      </c>
      <c r="D70" s="13" t="inlineStr">
        <is>
          <t>Steering actuator (Tier 2 pick)</t>
        </is>
      </c>
      <c r="E70" s="13" t="inlineStr">
        <is>
          <t>Maxon EC / EC-i motor + GP32C planetary + EPOS4 controller + ball screw on rack + HTD belt</t>
        </is>
      </c>
      <c r="F70" s="14" t="n">
        <v>1</v>
      </c>
      <c r="G70" s="15" t="n">
        <v>3500</v>
      </c>
      <c r="H70" s="16">
        <f>F70*G70</f>
        <v/>
      </c>
      <c r="I70" s="14" t="n">
        <v>0</v>
      </c>
      <c r="J70" s="14" t="n">
        <v>1</v>
      </c>
      <c r="K70" s="14" t="n">
        <v>0</v>
      </c>
      <c r="L70" s="16">
        <f>$H70*I70</f>
        <v/>
      </c>
      <c r="M70" s="16">
        <f>$H70*J70</f>
        <v/>
      </c>
      <c r="N70" s="16">
        <f>$H70*K70</f>
        <v/>
      </c>
      <c r="O70" s="17" t="inlineStr">
        <is>
          <t>Critical</t>
        </is>
      </c>
      <c r="P70" s="12" t="inlineStr">
        <is>
          <t>8-12 weeks</t>
        </is>
      </c>
      <c r="Q70" s="12" t="inlineStr">
        <is>
          <t>Yes — Maxon supports FS teams</t>
        </is>
      </c>
      <c r="R70" s="12" t="inlineStr">
        <is>
          <t>FSAE DV; FSG DS</t>
        </is>
      </c>
      <c r="S70" s="13" t="inlineStr">
        <is>
          <t>The proven FS approach. KA-RaceIng's FRED-003C achieved full lock-to-lock in 0.4s at 2000N rack force, matching a human ~99% of the time, removable via 8 bolts.</t>
        </is>
      </c>
    </row>
    <row r="71" ht="28" customHeight="1">
      <c r="A71" s="12" t="inlineStr">
        <is>
          <t>DV-068</t>
        </is>
      </c>
      <c r="B71" s="18" t="inlineStr">
        <is>
          <t>Mech/EE Interface — UNASSIGNED (DSO coordinates)</t>
        </is>
      </c>
      <c r="C71" s="12" t="inlineStr">
        <is>
          <t>Actuation — Steering</t>
        </is>
      </c>
      <c r="D71" s="13" t="inlineStr">
        <is>
          <t>Steering actuator (Tier 3 pick)</t>
        </is>
      </c>
      <c r="E71" s="13" t="inlineStr">
        <is>
          <t>High-torque BLDC + precision ball screw + dual redundant encoders</t>
        </is>
      </c>
      <c r="F71" s="14" t="n">
        <v>1</v>
      </c>
      <c r="G71" s="15" t="n">
        <v>5000</v>
      </c>
      <c r="H71" s="16">
        <f>F71*G71</f>
        <v/>
      </c>
      <c r="I71" s="14" t="n">
        <v>0</v>
      </c>
      <c r="J71" s="14" t="n">
        <v>0</v>
      </c>
      <c r="K71" s="14" t="n">
        <v>1</v>
      </c>
      <c r="L71" s="16">
        <f>$H71*I71</f>
        <v/>
      </c>
      <c r="M71" s="16">
        <f>$H71*J71</f>
        <v/>
      </c>
      <c r="N71" s="16">
        <f>$H71*K71</f>
        <v/>
      </c>
      <c r="O71" s="17" t="inlineStr">
        <is>
          <t>Critical</t>
        </is>
      </c>
      <c r="P71" s="12" t="inlineStr">
        <is>
          <t>10-14 weeks</t>
        </is>
      </c>
      <c r="Q71" s="12" t="inlineStr">
        <is>
          <t>Yes — Maxon / Kollmorgen</t>
        </is>
      </c>
      <c r="R71" s="12" t="inlineStr">
        <is>
          <t>FSAE DV; FSG DS</t>
        </is>
      </c>
      <c r="S71" s="13" t="inlineStr">
        <is>
          <t>Ball screw's low friction and lack of self-retention is what preserves manual back-drivability. Target &lt;0.5s lock-to-lock.</t>
        </is>
      </c>
    </row>
    <row r="72" ht="28" customHeight="1">
      <c r="A72" s="12" t="inlineStr">
        <is>
          <t>DV-069</t>
        </is>
      </c>
      <c r="B72" s="18" t="inlineStr">
        <is>
          <t>Mech/EE Interface — UNASSIGNED (DSO coordinates)</t>
        </is>
      </c>
      <c r="C72" s="12" t="inlineStr">
        <is>
          <t>Actuation — Steering</t>
        </is>
      </c>
      <c r="D72" s="13" t="inlineStr">
        <is>
          <t>Steering drive train hardware</t>
        </is>
      </c>
      <c r="E72" s="13" t="inlineStr">
        <is>
          <t>Ball screw, HTD belt + pulleys, machined bracket, bearings, shaft stock</t>
        </is>
      </c>
      <c r="F72" s="14" t="n">
        <v>1</v>
      </c>
      <c r="G72" s="15" t="n">
        <v>600</v>
      </c>
      <c r="H72" s="16">
        <f>F72*G72</f>
        <v/>
      </c>
      <c r="I72" s="14" t="n">
        <v>1</v>
      </c>
      <c r="J72" s="14" t="n">
        <v>0</v>
      </c>
      <c r="K72" s="14" t="n">
        <v>0</v>
      </c>
      <c r="L72" s="16">
        <f>$H72*I72</f>
        <v/>
      </c>
      <c r="M72" s="16">
        <f>$H72*J72</f>
        <v/>
      </c>
      <c r="N72" s="16">
        <f>$H72*K72</f>
        <v/>
      </c>
      <c r="O72" s="17" t="inlineStr">
        <is>
          <t>Critical</t>
        </is>
      </c>
      <c r="P72" s="12" t="inlineStr">
        <is>
          <t>4-6 weeks</t>
        </is>
      </c>
      <c r="Q72" s="12" t="inlineStr">
        <is>
          <t>Possible (machining sponsor)</t>
        </is>
      </c>
      <c r="R72" s="12" t="inlineStr">
        <is>
          <t>n/a</t>
        </is>
      </c>
      <c r="S72" s="13" t="inlineStr">
        <is>
          <t>Included in the Tier 2/3 actuator packages above; separate line for the Tier 1 DIY route.</t>
        </is>
      </c>
    </row>
    <row r="73" ht="28" customHeight="1">
      <c r="A73" s="12" t="inlineStr">
        <is>
          <t>DV-070</t>
        </is>
      </c>
      <c r="B73" s="18" t="inlineStr">
        <is>
          <t>Mech/EE Interface — UNASSIGNED (DSO coordinates)</t>
        </is>
      </c>
      <c r="C73" s="12" t="inlineStr">
        <is>
          <t>Actuation — Brake / EBS</t>
        </is>
      </c>
      <c r="D73" s="13" t="inlineStr">
        <is>
          <t>EBS pneumatic system (Tier 1 pick)</t>
        </is>
      </c>
      <c r="E73" s="13" t="inlineStr">
        <is>
          <t>Air tank + regulator + normally-open solenoid + Festo/SMC cylinder + 3x pressure sensors + fittings</t>
        </is>
      </c>
      <c r="F73" s="14" t="n">
        <v>1</v>
      </c>
      <c r="G73" s="15" t="n">
        <v>1200</v>
      </c>
      <c r="H73" s="16">
        <f>F73*G73</f>
        <v/>
      </c>
      <c r="I73" s="14" t="n">
        <v>1</v>
      </c>
      <c r="J73" s="14" t="n">
        <v>0</v>
      </c>
      <c r="K73" s="14" t="n">
        <v>0</v>
      </c>
      <c r="L73" s="16">
        <f>$H73*I73</f>
        <v/>
      </c>
      <c r="M73" s="16">
        <f>$H73*J73</f>
        <v/>
      </c>
      <c r="N73" s="16">
        <f>$H73*K73</f>
        <v/>
      </c>
      <c r="O73" s="17" t="inlineStr">
        <is>
          <t>Critical</t>
        </is>
      </c>
      <c r="P73" s="12" t="inlineStr">
        <is>
          <t>6-10 weeks</t>
        </is>
      </c>
      <c r="Q73" s="12" t="inlineStr">
        <is>
          <t>Possible — Festo/SMC</t>
        </is>
      </c>
      <c r="R73" s="12" t="inlineStr">
        <is>
          <t>FSAE DT.3.2.5; FSG T15.4.2</t>
        </is>
      </c>
      <c r="S73" s="13" t="inlineStr">
        <is>
          <t>Must use PASSIVE mechanical energy storage and release without electrical power. &gt;=10 m/s2 average deceleration, &lt;=200ms reaction. NO push-in fittings at the EBS.</t>
        </is>
      </c>
    </row>
    <row r="74" ht="28" customHeight="1">
      <c r="A74" s="12" t="inlineStr">
        <is>
          <t>DV-071</t>
        </is>
      </c>
      <c r="B74" s="18" t="inlineStr">
        <is>
          <t>Mech/EE Interface — UNASSIGNED (DSO coordinates)</t>
        </is>
      </c>
      <c r="C74" s="12" t="inlineStr">
        <is>
          <t>Actuation — Brake / EBS</t>
        </is>
      </c>
      <c r="D74" s="13" t="inlineStr">
        <is>
          <t>EBS engineered redundant system (Tier 2 pick)</t>
        </is>
      </c>
      <c r="E74" s="13" t="inlineStr">
        <is>
          <t>Dual independent pneumatic circuits, quality Festo valves, hydro-pneumatic intensifier, shuttle/OR valves</t>
        </is>
      </c>
      <c r="F74" s="14" t="n">
        <v>1</v>
      </c>
      <c r="G74" s="15" t="n">
        <v>3000</v>
      </c>
      <c r="H74" s="16">
        <f>F74*G74</f>
        <v/>
      </c>
      <c r="I74" s="14" t="n">
        <v>0</v>
      </c>
      <c r="J74" s="14" t="n">
        <v>1</v>
      </c>
      <c r="K74" s="14" t="n">
        <v>0</v>
      </c>
      <c r="L74" s="16">
        <f>$H74*I74</f>
        <v/>
      </c>
      <c r="M74" s="16">
        <f>$H74*J74</f>
        <v/>
      </c>
      <c r="N74" s="16">
        <f>$H74*K74</f>
        <v/>
      </c>
      <c r="O74" s="17" t="inlineStr">
        <is>
          <t>Critical</t>
        </is>
      </c>
      <c r="P74" s="12" t="inlineStr">
        <is>
          <t>8-12 weeks</t>
        </is>
      </c>
      <c r="Q74" s="12" t="inlineStr">
        <is>
          <t>Possible — Festo/SMC</t>
        </is>
      </c>
      <c r="R74" s="12" t="inlineStr">
        <is>
          <t>FSAE DT.3.2.5; FSG T15.4.2</t>
        </is>
      </c>
      <c r="S74" s="13" t="inlineStr">
        <is>
          <t>Working pressure ~8-10 bar. Size the tank for all startup-check actuations plus the emergency stop plus margin, with no electrical replenishment.</t>
        </is>
      </c>
    </row>
    <row r="75" ht="28" customHeight="1">
      <c r="A75" s="12" t="inlineStr">
        <is>
          <t>DV-072</t>
        </is>
      </c>
      <c r="B75" s="18" t="inlineStr">
        <is>
          <t>Mech/EE Interface — UNASSIGNED (DSO coordinates)</t>
        </is>
      </c>
      <c r="C75" s="12" t="inlineStr">
        <is>
          <t>Actuation — Brake / EBS</t>
        </is>
      </c>
      <c r="D75" s="13" t="inlineStr">
        <is>
          <t>EBS fully redundant + safety logic (Tier 3 pick)</t>
        </is>
      </c>
      <c r="E75" s="13" t="inlineStr">
        <is>
          <t>Dual-circuit pneumatic/hydraulic with safety-rated supervisory logic</t>
        </is>
      </c>
      <c r="F75" s="14" t="n">
        <v>1</v>
      </c>
      <c r="G75" s="15" t="n">
        <v>5000</v>
      </c>
      <c r="H75" s="16">
        <f>F75*G75</f>
        <v/>
      </c>
      <c r="I75" s="14" t="n">
        <v>0</v>
      </c>
      <c r="J75" s="14" t="n">
        <v>0</v>
      </c>
      <c r="K75" s="14" t="n">
        <v>1</v>
      </c>
      <c r="L75" s="16">
        <f>$H75*I75</f>
        <v/>
      </c>
      <c r="M75" s="16">
        <f>$H75*J75</f>
        <v/>
      </c>
      <c r="N75" s="16">
        <f>$H75*K75</f>
        <v/>
      </c>
      <c r="O75" s="17" t="inlineStr">
        <is>
          <t>Critical</t>
        </is>
      </c>
      <c r="P75" s="12" t="inlineStr">
        <is>
          <t>10-16 weeks</t>
        </is>
      </c>
      <c r="Q75" s="12" t="inlineStr">
        <is>
          <t>Possible</t>
        </is>
      </c>
      <c r="R75" s="12" t="inlineStr">
        <is>
          <t>FSAE DT.3.2.5; FSG T15.4.2</t>
        </is>
      </c>
      <c r="S75" s="13" t="inlineStr">
        <is>
          <t>On a single failure the service brake must still deliver &gt;=half performance, and the car must stay stable while decelerating.</t>
        </is>
      </c>
    </row>
    <row r="76" ht="28" customHeight="1">
      <c r="A76" s="12" t="inlineStr">
        <is>
          <t>DV-073</t>
        </is>
      </c>
      <c r="B76" s="18" t="inlineStr">
        <is>
          <t>Mech/EE Interface — UNASSIGNED (DSO coordinates)</t>
        </is>
      </c>
      <c r="C76" s="12" t="inlineStr">
        <is>
          <t>Actuation — Brake / EBS</t>
        </is>
      </c>
      <c r="D76" s="13" t="inlineStr">
        <is>
          <t>Driverless master cylinders + shuttle valves</t>
        </is>
      </c>
      <c r="E76" s="13" t="inlineStr">
        <is>
          <t>Dedicated DV master cylinders + 3-way higher-pressure-wins valves into existing hydraulic lines</t>
        </is>
      </c>
      <c r="F76" s="14" t="n">
        <v>1</v>
      </c>
      <c r="G76" s="15" t="n">
        <v>500</v>
      </c>
      <c r="H76" s="16">
        <f>F76*G76</f>
        <v/>
      </c>
      <c r="I76" s="14" t="n">
        <v>1</v>
      </c>
      <c r="J76" s="14" t="n">
        <v>1</v>
      </c>
      <c r="K76" s="14" t="n">
        <v>1</v>
      </c>
      <c r="L76" s="16">
        <f>$H76*I76</f>
        <v/>
      </c>
      <c r="M76" s="16">
        <f>$H76*J76</f>
        <v/>
      </c>
      <c r="N76" s="16">
        <f>$H76*K76</f>
        <v/>
      </c>
      <c r="O76" s="17" t="inlineStr">
        <is>
          <t>Critical</t>
        </is>
      </c>
      <c r="P76" s="12" t="inlineStr">
        <is>
          <t>4-6 weeks</t>
        </is>
      </c>
      <c r="Q76" s="12" t="inlineStr">
        <is>
          <t>Possible</t>
        </is>
      </c>
      <c r="R76" s="12" t="inlineStr">
        <is>
          <t>FSAE DT.3.2</t>
        </is>
      </c>
      <c r="S76" s="13" t="inlineStr">
        <is>
          <t>Pattern used by Carnegie Mellon Racing and Politecnico di Torino.</t>
        </is>
      </c>
    </row>
    <row r="77" ht="28" customHeight="1">
      <c r="A77" s="12" t="inlineStr">
        <is>
          <t>DV-074</t>
        </is>
      </c>
      <c r="B77" s="18" t="inlineStr">
        <is>
          <t>Mech/EE Interface — UNASSIGNED (DSO coordinates)</t>
        </is>
      </c>
      <c r="C77" s="12" t="inlineStr">
        <is>
          <t>Safety / Rules Hardware</t>
        </is>
      </c>
      <c r="D77" s="13" t="inlineStr">
        <is>
          <t>Brake Release deactivation handles</t>
        </is>
      </c>
      <c r="E77" s="13" t="inlineStr">
        <is>
          <t>Max 2 red handles marked 'Brake Release', operable with no power or tools</t>
        </is>
      </c>
      <c r="F77" s="14" t="n">
        <v>2</v>
      </c>
      <c r="G77" s="15" t="n">
        <v>40</v>
      </c>
      <c r="H77" s="16">
        <f>F77*G77</f>
        <v/>
      </c>
      <c r="I77" s="14" t="n">
        <v>1</v>
      </c>
      <c r="J77" s="14" t="n">
        <v>1</v>
      </c>
      <c r="K77" s="14" t="n">
        <v>1</v>
      </c>
      <c r="L77" s="16">
        <f>$H77*I77</f>
        <v/>
      </c>
      <c r="M77" s="16">
        <f>$H77*J77</f>
        <v/>
      </c>
      <c r="N77" s="16">
        <f>$H77*K77</f>
        <v/>
      </c>
      <c r="O77" s="17" t="inlineStr">
        <is>
          <t>Critical</t>
        </is>
      </c>
      <c r="P77" s="12" t="inlineStr">
        <is>
          <t>2 weeks</t>
        </is>
      </c>
      <c r="Q77" s="12" t="inlineStr">
        <is>
          <t>No</t>
        </is>
      </c>
      <c r="R77" s="12" t="inlineStr">
        <is>
          <t>FSAE DV; FSG DS</t>
        </is>
      </c>
      <c r="S77" s="13" t="inlineStr">
        <is>
          <t>Must be near the vehicle centreline on top of the car.</t>
        </is>
      </c>
    </row>
    <row r="78" ht="28" customHeight="1">
      <c r="A78" s="12" t="inlineStr">
        <is>
          <t>DV-075</t>
        </is>
      </c>
      <c r="B78" s="18" t="inlineStr">
        <is>
          <t>Mech/EE Interface — UNASSIGNED (DSO coordinates)</t>
        </is>
      </c>
      <c r="C78" s="12" t="inlineStr">
        <is>
          <t>Actuation — Brake / EBS</t>
        </is>
      </c>
      <c r="D78" s="13" t="inlineStr">
        <is>
          <t>Hydraulic lines, fittings and brake spares</t>
        </is>
      </c>
      <c r="E78" s="13" t="inlineStr">
        <is>
          <t>Braided lines, unions, bleed kit, spare pads/fluid</t>
        </is>
      </c>
      <c r="F78" s="14" t="n">
        <v>1</v>
      </c>
      <c r="G78" s="15" t="n">
        <v>250</v>
      </c>
      <c r="H78" s="16">
        <f>F78*G78</f>
        <v/>
      </c>
      <c r="I78" s="14" t="n">
        <v>1</v>
      </c>
      <c r="J78" s="14" t="n">
        <v>1</v>
      </c>
      <c r="K78" s="14" t="n">
        <v>1</v>
      </c>
      <c r="L78" s="16" t="n"/>
      <c r="M78" s="16">
        <f>$H78*J78</f>
        <v/>
      </c>
      <c r="N78" s="16">
        <f>$H78*K78</f>
        <v/>
      </c>
      <c r="O78" s="12" t="inlineStr">
        <is>
          <t>High</t>
        </is>
      </c>
      <c r="P78" s="12" t="inlineStr">
        <is>
          <t>2-3 weeks</t>
        </is>
      </c>
      <c r="Q78" s="12" t="inlineStr">
        <is>
          <t>No</t>
        </is>
      </c>
      <c r="R78" s="12" t="inlineStr">
        <is>
          <t>n/a</t>
        </is>
      </c>
      <c r="S78" s="13" t="inlineStr">
        <is>
          <t>You will bleed this system many, many times during EBS validation.</t>
        </is>
      </c>
    </row>
    <row r="79" ht="28" customHeight="1">
      <c r="A79" s="12" t="inlineStr">
        <is>
          <t>DV-076</t>
        </is>
      </c>
      <c r="B79" s="18" t="inlineStr">
        <is>
          <t>Mech/EE Interface — UNASSIGNED (DSO coordinates)</t>
        </is>
      </c>
      <c r="C79" s="12" t="inlineStr">
        <is>
          <t>Tooling / Bench</t>
        </is>
      </c>
      <c r="D79" s="13" t="inlineStr">
        <is>
          <t>Compressed air fill equipment</t>
        </is>
      </c>
      <c r="E79" s="13" t="inlineStr">
        <is>
          <t>Compressor or fill adapter + gauges for recharging the EBS tank between runs</t>
        </is>
      </c>
      <c r="F79" s="14" t="n">
        <v>1</v>
      </c>
      <c r="G79" s="15" t="n">
        <v>400</v>
      </c>
      <c r="H79" s="16">
        <f>F79*G79</f>
        <v/>
      </c>
      <c r="I79" s="14" t="n">
        <v>1</v>
      </c>
      <c r="J79" s="14" t="n">
        <v>1</v>
      </c>
      <c r="K79" s="14" t="n">
        <v>1</v>
      </c>
      <c r="L79" s="16">
        <f>$H79*I79</f>
        <v/>
      </c>
      <c r="M79" s="16">
        <f>$H79*J79</f>
        <v/>
      </c>
      <c r="N79" s="16">
        <f>$H79*K79</f>
        <v/>
      </c>
      <c r="O79" s="12" t="inlineStr">
        <is>
          <t>High</t>
        </is>
      </c>
      <c r="P79" s="12" t="inlineStr">
        <is>
          <t>2-3 weeks</t>
        </is>
      </c>
      <c r="Q79" s="12" t="inlineStr">
        <is>
          <t>No</t>
        </is>
      </c>
      <c r="R79" s="12" t="inlineStr">
        <is>
          <t>n/a</t>
        </is>
      </c>
      <c r="S79" s="13" t="inlineStr">
        <is>
          <t>You recharge after every startup check and every e-stop — a slow fill kills test-day throughput.</t>
        </is>
      </c>
    </row>
    <row r="80" ht="42" customHeight="1">
      <c r="A80" s="12" t="inlineStr">
        <is>
          <t>DV-077</t>
        </is>
      </c>
      <c r="B80" s="12" t="inlineStr">
        <is>
          <t>Testing — Evan</t>
        </is>
      </c>
      <c r="C80" s="12" t="inlineStr">
        <is>
          <t>Test Platform (RC)</t>
        </is>
      </c>
      <c r="D80" s="35" t="inlineStr">
        <is>
          <t>F1TENTH platform (Tier 1 build)</t>
        </is>
      </c>
      <c r="E80" s="13" t="inlineStr">
        <is>
          <t>Traxxas Slash 4x4 + VESC 6 MkVI + RPLiDAR A2/S2 + Jetson Orin Nano + USB global-shutter cam + 2x LiPo + deck/IMU/power board</t>
        </is>
      </c>
      <c r="F80" s="14" t="n">
        <v>1</v>
      </c>
      <c r="G80" s="15" t="n">
        <v>2160</v>
      </c>
      <c r="H80" s="16">
        <f>F80*G80</f>
        <v/>
      </c>
      <c r="I80" s="14" t="n">
        <v>1</v>
      </c>
      <c r="J80" s="14" t="n">
        <v>0</v>
      </c>
      <c r="K80" s="14" t="n">
        <v>0</v>
      </c>
      <c r="L80" s="16">
        <f>$H80*I80</f>
        <v/>
      </c>
      <c r="M80" s="16">
        <f>$H80*J80</f>
        <v/>
      </c>
      <c r="N80" s="16">
        <f>$H80*K80</f>
        <v/>
      </c>
      <c r="O80" s="17" t="inlineStr">
        <is>
          <t>Critical</t>
        </is>
      </c>
      <c r="P80" s="12" t="inlineStr">
        <is>
          <t>4-6 weeks</t>
        </is>
      </c>
      <c r="Q80" s="12" t="inlineStr">
        <is>
          <t>Partial — NVIDIA for the Orin Nano</t>
        </is>
      </c>
      <c r="R80" s="12" t="inlineStr">
        <is>
          <t>n/a</t>
        </is>
      </c>
      <c r="S80" s="13" t="inlineStr">
        <is>
          <t>DO THIS FIRST. Exercises the entire ROS2 stack indoors over the Winnipeg winter, before the car is ready. BOM documented at f1tenth.org.</t>
        </is>
      </c>
    </row>
    <row r="81" ht="28" customHeight="1">
      <c r="A81" s="12" t="inlineStr">
        <is>
          <t>DV-078</t>
        </is>
      </c>
      <c r="B81" s="12" t="inlineStr">
        <is>
          <t>Testing — Evan</t>
        </is>
      </c>
      <c r="C81" s="12" t="inlineStr">
        <is>
          <t>Test Platform (RC)</t>
        </is>
      </c>
      <c r="D81" s="13" t="inlineStr">
        <is>
          <t>F1TENTH upgrade + spares (Tier 2)</t>
        </is>
      </c>
      <c r="E81" s="13" t="inlineStr">
        <is>
          <t>Hokuyo UST-10LX LiDAR upgrade + Jetson Orin NX + crash spares</t>
        </is>
      </c>
      <c r="F81" s="14" t="n">
        <v>1</v>
      </c>
      <c r="G81" s="15" t="n">
        <v>2500</v>
      </c>
      <c r="H81" s="16">
        <f>F81*G81</f>
        <v/>
      </c>
      <c r="I81" s="14" t="n">
        <v>0</v>
      </c>
      <c r="J81" s="14" t="n">
        <v>1</v>
      </c>
      <c r="K81" s="14" t="n">
        <v>0</v>
      </c>
      <c r="L81" s="16">
        <f>$H81*I81</f>
        <v/>
      </c>
      <c r="M81" s="16">
        <f>$H81*J81</f>
        <v/>
      </c>
      <c r="N81" s="16">
        <f>$H81*K81</f>
        <v/>
      </c>
      <c r="O81" s="12" t="inlineStr">
        <is>
          <t>High</t>
        </is>
      </c>
      <c r="P81" s="12" t="inlineStr">
        <is>
          <t>4-6 weeks</t>
        </is>
      </c>
      <c r="Q81" s="12" t="inlineStr">
        <is>
          <t>Partial</t>
        </is>
      </c>
      <c r="R81" s="12" t="inlineStr">
        <is>
          <t>n/a</t>
        </is>
      </c>
      <c r="S81" s="13" t="inlineStr">
        <is>
          <t>The Hokuyo is the reference F1TENTH sensor and makes results comparable with the published literature.</t>
        </is>
      </c>
    </row>
    <row r="82" ht="28" customHeight="1">
      <c r="A82" s="12" t="inlineStr">
        <is>
          <t>DV-079</t>
        </is>
      </c>
      <c r="B82" s="12" t="inlineStr">
        <is>
          <t>Testing — Evan</t>
        </is>
      </c>
      <c r="C82" s="12" t="inlineStr">
        <is>
          <t>Test Platform (RC)</t>
        </is>
      </c>
      <c r="D82" s="13" t="inlineStr">
        <is>
          <t>F1TENTH fleet (Tier 3)</t>
        </is>
      </c>
      <c r="E82" s="13" t="inlineStr">
        <is>
          <t>3x complete platforms for parallel subteam development and head-to-head testing</t>
        </is>
      </c>
      <c r="F82" s="14" t="n">
        <v>3</v>
      </c>
      <c r="G82" s="15" t="n">
        <v>2333</v>
      </c>
      <c r="H82" s="16">
        <f>F82*G82</f>
        <v/>
      </c>
      <c r="I82" s="14" t="n">
        <v>0</v>
      </c>
      <c r="J82" s="14" t="n">
        <v>0</v>
      </c>
      <c r="K82" s="14" t="n">
        <v>1</v>
      </c>
      <c r="L82" s="16">
        <f>$H82*I82</f>
        <v/>
      </c>
      <c r="M82" s="16">
        <f>$H82*J82</f>
        <v/>
      </c>
      <c r="N82" s="16">
        <f>$H82*K82</f>
        <v/>
      </c>
      <c r="O82" s="12" t="inlineStr">
        <is>
          <t>Medium</t>
        </is>
      </c>
      <c r="P82" s="12" t="inlineStr">
        <is>
          <t>6-8 weeks</t>
        </is>
      </c>
      <c r="Q82" s="12" t="inlineStr">
        <is>
          <t>Partial</t>
        </is>
      </c>
      <c r="R82" s="12" t="inlineStr">
        <is>
          <t>n/a</t>
        </is>
      </c>
      <c r="S82" s="13" t="inlineStr">
        <is>
          <t>Lets perception, planning and controls iterate in parallel instead of queueing for one car.</t>
        </is>
      </c>
    </row>
    <row r="83" ht="28" customHeight="1">
      <c r="A83" s="12" t="inlineStr">
        <is>
          <t>DV-080</t>
        </is>
      </c>
      <c r="B83" s="12" t="inlineStr">
        <is>
          <t>Testing — Evan</t>
        </is>
      </c>
      <c r="C83" s="12" t="inlineStr">
        <is>
          <t>Test Equipment</t>
        </is>
      </c>
      <c r="D83" s="13" t="inlineStr">
        <is>
          <t>Practice cones (Tier 1)</t>
        </is>
      </c>
      <c r="E83" s="13" t="inlineStr">
        <is>
          <t>200x generic 12.5in traffic cones in blue/yellow/orange + 20x 18in orange</t>
        </is>
      </c>
      <c r="F83" s="14" t="n">
        <v>220</v>
      </c>
      <c r="G83" s="15" t="n">
        <v>5</v>
      </c>
      <c r="H83" s="16">
        <f>F83*G83</f>
        <v/>
      </c>
      <c r="I83" s="14" t="n">
        <v>1</v>
      </c>
      <c r="J83" s="14" t="n">
        <v>0</v>
      </c>
      <c r="K83" s="14" t="n">
        <v>0</v>
      </c>
      <c r="L83" s="16">
        <f>$H83*I83</f>
        <v/>
      </c>
      <c r="M83" s="16">
        <f>$H83*J83</f>
        <v/>
      </c>
      <c r="N83" s="16">
        <f>$H83*K83</f>
        <v/>
      </c>
      <c r="O83" s="17" t="inlineStr">
        <is>
          <t>Critical</t>
        </is>
      </c>
      <c r="P83" s="12" t="inlineStr">
        <is>
          <t>2-3 weeks</t>
        </is>
      </c>
      <c r="Q83" s="12" t="inlineStr">
        <is>
          <t>Possible (local supplier)</t>
        </is>
      </c>
      <c r="R83" s="12" t="inlineStr">
        <is>
          <t>FSG DS cone spec</t>
        </is>
      </c>
      <c r="S83" s="13" t="inlineStr">
        <is>
          <t>Max cone spacing in the driving direction is 5m, so a full autocross/trackdrive layout needs 200-400+. Buy cheap locally for practice.</t>
        </is>
      </c>
    </row>
    <row r="84" ht="42" customHeight="1">
      <c r="A84" s="12" t="inlineStr">
        <is>
          <t>DV-081</t>
        </is>
      </c>
      <c r="B84" s="12" t="inlineStr">
        <is>
          <t>Testing — Evan</t>
        </is>
      </c>
      <c r="C84" s="12" t="inlineStr">
        <is>
          <t>Test Equipment</t>
        </is>
      </c>
      <c r="D84" s="13" t="inlineStr">
        <is>
          <t>Rules-spec cone set (Tier 2)</t>
        </is>
      </c>
      <c r="E84" s="13" t="inlineStr">
        <is>
          <t>WEMAS-spec: small 228x228x325mm blue/yellow/orange x250 + big orange 285x285x505mm x30</t>
        </is>
      </c>
      <c r="F84" s="14" t="n">
        <v>1</v>
      </c>
      <c r="G84" s="15" t="n">
        <v>2500</v>
      </c>
      <c r="H84" s="16">
        <f>F84*G84</f>
        <v/>
      </c>
      <c r="I84" s="14" t="n">
        <v>0</v>
      </c>
      <c r="J84" s="14" t="n">
        <v>1</v>
      </c>
      <c r="K84" s="14" t="n">
        <v>0</v>
      </c>
      <c r="L84" s="16">
        <f>$H84*I84</f>
        <v/>
      </c>
      <c r="M84" s="16">
        <f>$H84*J84</f>
        <v/>
      </c>
      <c r="N84" s="16">
        <f>$H84*K84</f>
        <v/>
      </c>
      <c r="O84" s="12" t="inlineStr">
        <is>
          <t>High</t>
        </is>
      </c>
      <c r="P84" s="12" t="inlineStr">
        <is>
          <t>6-10 weeks</t>
        </is>
      </c>
      <c r="Q84" s="12" t="inlineStr">
        <is>
          <t>Possible</t>
        </is>
      </c>
      <c r="R84" s="12" t="inlineStr">
        <is>
          <t>FSG DS cone spec</t>
        </is>
      </c>
      <c r="S84" s="13" t="inlineStr">
        <is>
          <t>WEMAS does not sell direct — FSG points teams to baustellenabsicherung24.de (fsg.one/cones). Blue on left, yellow on right.</t>
        </is>
      </c>
    </row>
    <row r="85" ht="28" customHeight="1">
      <c r="A85" s="12" t="inlineStr">
        <is>
          <t>DV-082</t>
        </is>
      </c>
      <c r="B85" s="12" t="inlineStr">
        <is>
          <t>Testing — Evan</t>
        </is>
      </c>
      <c r="C85" s="12" t="inlineStr">
        <is>
          <t>Test Equipment</t>
        </is>
      </c>
      <c r="D85" s="13" t="inlineStr">
        <is>
          <t>Full rules-spec cone set (Tier 3)</t>
        </is>
      </c>
      <c r="E85" s="13" t="inlineStr">
        <is>
          <t>Complete WEMAS set sized for a full trackdrive layout plus spares</t>
        </is>
      </c>
      <c r="F85" s="14" t="n">
        <v>1</v>
      </c>
      <c r="G85" s="15" t="n">
        <v>4000</v>
      </c>
      <c r="H85" s="16">
        <f>F85*G85</f>
        <v/>
      </c>
      <c r="I85" s="14" t="n">
        <v>0</v>
      </c>
      <c r="J85" s="14" t="n">
        <v>0</v>
      </c>
      <c r="K85" s="14" t="n">
        <v>1</v>
      </c>
      <c r="L85" s="16">
        <f>$H85*I85</f>
        <v/>
      </c>
      <c r="M85" s="16">
        <f>$H85*J85</f>
        <v/>
      </c>
      <c r="N85" s="16">
        <f>$H85*K85</f>
        <v/>
      </c>
      <c r="O85" s="12" t="inlineStr">
        <is>
          <t>High</t>
        </is>
      </c>
      <c r="P85" s="12" t="inlineStr">
        <is>
          <t>6-10 weeks</t>
        </is>
      </c>
      <c r="Q85" s="12" t="inlineStr">
        <is>
          <t>Possible</t>
        </is>
      </c>
      <c r="R85" s="12" t="inlineStr">
        <is>
          <t>FSG DS cone spec</t>
        </is>
      </c>
      <c r="S85" s="13" t="inlineStr">
        <is>
          <t>Cone strikes cost 2s each — practise with correctly-sized cones or your planner margins are wrong.</t>
        </is>
      </c>
    </row>
    <row r="86" ht="28" customHeight="1">
      <c r="A86" s="12" t="inlineStr">
        <is>
          <t>DV-083</t>
        </is>
      </c>
      <c r="B86" s="12" t="inlineStr">
        <is>
          <t>Testing — Evan</t>
        </is>
      </c>
      <c r="C86" s="12" t="inlineStr">
        <is>
          <t>Test Equipment</t>
        </is>
      </c>
      <c r="D86" s="13" t="inlineStr">
        <is>
          <t>Track marking + measurement kit</t>
        </is>
      </c>
      <c r="E86" s="13" t="inlineStr">
        <is>
          <t>Chalk-based spray paint (Technima Tempo T.P.) x24, 100m tape, laser rangefinder, measuring wheel</t>
        </is>
      </c>
      <c r="F86" s="14" t="n">
        <v>1</v>
      </c>
      <c r="G86" s="15" t="n">
        <v>600</v>
      </c>
      <c r="H86" s="16">
        <f>F86*G86</f>
        <v/>
      </c>
      <c r="I86" s="14" t="n">
        <v>1</v>
      </c>
      <c r="J86" s="14" t="n">
        <v>1</v>
      </c>
      <c r="K86" s="14" t="n">
        <v>1</v>
      </c>
      <c r="L86" s="16" t="n"/>
      <c r="M86" s="16">
        <f>$H86*J86</f>
        <v/>
      </c>
      <c r="N86" s="16">
        <f>$H86*K86</f>
        <v/>
      </c>
      <c r="O86" s="12" t="inlineStr">
        <is>
          <t>High</t>
        </is>
      </c>
      <c r="P86" s="12" t="inlineStr">
        <is>
          <t>2-3 weeks</t>
        </is>
      </c>
      <c r="Q86" s="12" t="inlineStr">
        <is>
          <t>No</t>
        </is>
      </c>
      <c r="R86" s="12" t="inlineStr">
        <is>
          <t>FSG DS</t>
        </is>
      </c>
      <c r="S86" s="13" t="inlineStr">
        <is>
          <t>You need an 18.25m-diameter skidpad laid out accurately, plus a 75m accel run with shutdown area.</t>
        </is>
      </c>
    </row>
    <row r="87">
      <c r="A87" s="12" t="inlineStr">
        <is>
          <t>DV-084</t>
        </is>
      </c>
      <c r="B87" s="12" t="inlineStr">
        <is>
          <t>Testing — Evan</t>
        </is>
      </c>
      <c r="C87" s="12" t="inlineStr">
        <is>
          <t>Safety Equipment</t>
        </is>
      </c>
      <c r="D87" s="13" t="inlineStr">
        <is>
          <t>Fire extinguishers</t>
        </is>
      </c>
      <c r="E87" s="13" t="inlineStr">
        <is>
          <t>3x extinguishers including lithium-battery-rated</t>
        </is>
      </c>
      <c r="F87" s="14" t="n">
        <v>3</v>
      </c>
      <c r="G87" s="15" t="n">
        <v>165</v>
      </c>
      <c r="H87" s="16">
        <f>F87*G87</f>
        <v/>
      </c>
      <c r="I87" s="14" t="n">
        <v>1</v>
      </c>
      <c r="J87" s="14" t="n">
        <v>1</v>
      </c>
      <c r="K87" s="14" t="n">
        <v>1</v>
      </c>
      <c r="L87" s="16" t="n"/>
      <c r="M87" s="16">
        <f>$H87*J87</f>
        <v/>
      </c>
      <c r="N87" s="16">
        <f>$H87*K87</f>
        <v/>
      </c>
      <c r="O87" s="17" t="inlineStr">
        <is>
          <t>Critical</t>
        </is>
      </c>
      <c r="P87" s="12" t="inlineStr">
        <is>
          <t>1-2 weeks</t>
        </is>
      </c>
      <c r="Q87" s="12" t="inlineStr">
        <is>
          <t>No</t>
        </is>
      </c>
      <c r="R87" s="12" t="inlineStr">
        <is>
          <t>FSAE safety rules</t>
        </is>
      </c>
      <c r="S87" s="13" t="inlineStr">
        <is>
          <t>Non-negotiable for any EV test day.</t>
        </is>
      </c>
    </row>
    <row r="88" ht="28" customHeight="1">
      <c r="A88" s="12" t="inlineStr">
        <is>
          <t>DV-085</t>
        </is>
      </c>
      <c r="B88" s="12" t="inlineStr">
        <is>
          <t>Testing — Evan</t>
        </is>
      </c>
      <c r="C88" s="12" t="inlineStr">
        <is>
          <t>Safety Equipment</t>
        </is>
      </c>
      <c r="D88" s="13" t="inlineStr">
        <is>
          <t>HV personal protective equipment</t>
        </is>
      </c>
      <c r="E88" s="13" t="inlineStr">
        <is>
          <t>Class 0 (1000V) insulating gloves + leather overgloves, HV boots, insulating mat, rescue hook/pole</t>
        </is>
      </c>
      <c r="F88" s="14" t="n">
        <v>1</v>
      </c>
      <c r="G88" s="15" t="n">
        <v>900</v>
      </c>
      <c r="H88" s="16">
        <f>F88*G88</f>
        <v/>
      </c>
      <c r="I88" s="14" t="n">
        <v>1</v>
      </c>
      <c r="J88" s="14" t="n">
        <v>1</v>
      </c>
      <c r="K88" s="14" t="n">
        <v>1</v>
      </c>
      <c r="L88" s="16" t="n"/>
      <c r="M88" s="16">
        <f>$H88*J88</f>
        <v/>
      </c>
      <c r="N88" s="16">
        <f>$H88*K88</f>
        <v/>
      </c>
      <c r="O88" s="17" t="inlineStr">
        <is>
          <t>Critical</t>
        </is>
      </c>
      <c r="P88" s="12" t="inlineStr">
        <is>
          <t>2-3 weeks</t>
        </is>
      </c>
      <c r="Q88" s="12" t="inlineStr">
        <is>
          <t>No</t>
        </is>
      </c>
      <c r="R88" s="12" t="inlineStr">
        <is>
          <t>FSAE EV rules</t>
        </is>
      </c>
      <c r="S88" s="13" t="inlineStr">
        <is>
          <t>Class 0 gloves need periodic recertification — track the test dates.</t>
        </is>
      </c>
    </row>
    <row r="89" ht="28" customHeight="1">
      <c r="A89" s="12" t="inlineStr">
        <is>
          <t>DV-086</t>
        </is>
      </c>
      <c r="B89" s="12" t="inlineStr">
        <is>
          <t>Testing — Evan</t>
        </is>
      </c>
      <c r="C89" s="12" t="inlineStr">
        <is>
          <t>Safety Equipment</t>
        </is>
      </c>
      <c r="D89" s="13" t="inlineStr">
        <is>
          <t>First aid + site safety kit</t>
        </is>
      </c>
      <c r="E89" s="13" t="inlineStr">
        <is>
          <t>First aid kit, eye wash, barriers, hi-vis vests, pit mats</t>
        </is>
      </c>
      <c r="F89" s="14" t="n">
        <v>1</v>
      </c>
      <c r="G89" s="15" t="n">
        <v>450</v>
      </c>
      <c r="H89" s="16">
        <f>F89*G89</f>
        <v/>
      </c>
      <c r="I89" s="14" t="n">
        <v>1</v>
      </c>
      <c r="J89" s="14" t="n">
        <v>1</v>
      </c>
      <c r="K89" s="14" t="n">
        <v>1</v>
      </c>
      <c r="L89" s="16" t="n"/>
      <c r="M89" s="16">
        <f>$H89*J89</f>
        <v/>
      </c>
      <c r="N89" s="16">
        <f>$H89*K89</f>
        <v/>
      </c>
      <c r="O89" s="17" t="inlineStr">
        <is>
          <t>Critical</t>
        </is>
      </c>
      <c r="P89" s="12" t="inlineStr">
        <is>
          <t>1-2 weeks</t>
        </is>
      </c>
      <c r="Q89" s="12" t="inlineStr">
        <is>
          <t>No</t>
        </is>
      </c>
      <c r="R89" s="12" t="inlineStr">
        <is>
          <t>n/a</t>
        </is>
      </c>
      <c r="S89" s="13" t="inlineStr">
        <is>
          <t>Low DV finishing rates are mostly a safety and reliability problem — treat SOPs as core engineering.</t>
        </is>
      </c>
    </row>
    <row r="90" ht="28" customHeight="1">
      <c r="A90" s="12" t="inlineStr">
        <is>
          <t>DV-087</t>
        </is>
      </c>
      <c r="B90" s="12" t="inlineStr">
        <is>
          <t>Testing — Evan</t>
        </is>
      </c>
      <c r="C90" s="12" t="inlineStr">
        <is>
          <t>Safety Equipment</t>
        </is>
      </c>
      <c r="D90" s="13" t="inlineStr">
        <is>
          <t>Two-way radios</t>
        </is>
      </c>
      <c r="E90" s="13" t="inlineStr">
        <is>
          <t>6x radios with headsets for spotters, RES operator and pit</t>
        </is>
      </c>
      <c r="F90" s="14" t="n">
        <v>6</v>
      </c>
      <c r="G90" s="15" t="n">
        <v>65</v>
      </c>
      <c r="H90" s="16">
        <f>F90*G90</f>
        <v/>
      </c>
      <c r="I90" s="14" t="n">
        <v>1</v>
      </c>
      <c r="J90" s="14" t="n">
        <v>1</v>
      </c>
      <c r="K90" s="14" t="n">
        <v>1</v>
      </c>
      <c r="L90" s="16" t="n"/>
      <c r="M90" s="16">
        <f>$H90*J90</f>
        <v/>
      </c>
      <c r="N90" s="16">
        <f>$H90*K90</f>
        <v/>
      </c>
      <c r="O90" s="17" t="inlineStr">
        <is>
          <t>Critical</t>
        </is>
      </c>
      <c r="P90" s="12" t="inlineStr">
        <is>
          <t>1-2 weeks</t>
        </is>
      </c>
      <c r="Q90" s="12" t="inlineStr">
        <is>
          <t>No</t>
        </is>
      </c>
      <c r="R90" s="12" t="inlineStr">
        <is>
          <t>n/a</t>
        </is>
      </c>
      <c r="S90" s="13" t="inlineStr">
        <is>
          <t>Do an RES range check before EVERY session, and never run without dedicated spotters.</t>
        </is>
      </c>
    </row>
    <row r="91" ht="28" customHeight="1">
      <c r="A91" s="12" t="inlineStr">
        <is>
          <t>DV-088</t>
        </is>
      </c>
      <c r="B91" s="12" t="inlineStr">
        <is>
          <t>Testing — Evan</t>
        </is>
      </c>
      <c r="C91" s="12" t="inlineStr">
        <is>
          <t>Test Equipment</t>
        </is>
      </c>
      <c r="D91" s="13" t="inlineStr">
        <is>
          <t>Telemetry link</t>
        </is>
      </c>
      <c r="E91" s="13" t="inlineStr">
        <is>
          <t>RFD900 / Ubiquiti one-way telemetry radio pair + antennas</t>
        </is>
      </c>
      <c r="F91" s="14" t="n">
        <v>1</v>
      </c>
      <c r="G91" s="15" t="n">
        <v>400</v>
      </c>
      <c r="H91" s="16">
        <f>F91*G91</f>
        <v/>
      </c>
      <c r="I91" s="14" t="n">
        <v>1</v>
      </c>
      <c r="J91" s="14" t="n">
        <v>1</v>
      </c>
      <c r="K91" s="14" t="n">
        <v>1</v>
      </c>
      <c r="L91" s="16" t="n"/>
      <c r="M91" s="16">
        <f>$H91*J91</f>
        <v/>
      </c>
      <c r="N91" s="16">
        <f>$H91*K91</f>
        <v/>
      </c>
      <c r="O91" s="12" t="inlineStr">
        <is>
          <t>High</t>
        </is>
      </c>
      <c r="P91" s="12" t="inlineStr">
        <is>
          <t>2-4 weeks</t>
        </is>
      </c>
      <c r="Q91" s="12" t="inlineStr">
        <is>
          <t>No</t>
        </is>
      </c>
      <c r="R91" s="12" t="inlineStr">
        <is>
          <t>FSAE DV comms rules</t>
        </is>
      </c>
      <c r="S91" s="13" t="inlineStr">
        <is>
          <t>One-way telemetry only — two-way control is banned between start/finish lines.</t>
        </is>
      </c>
    </row>
    <row r="92">
      <c r="A92" s="12" t="inlineStr">
        <is>
          <t>DV-089</t>
        </is>
      </c>
      <c r="B92" s="12" t="inlineStr">
        <is>
          <t>Testing — Evan</t>
        </is>
      </c>
      <c r="C92" s="12" t="inlineStr">
        <is>
          <t>Test Equipment</t>
        </is>
      </c>
      <c r="D92" s="13" t="inlineStr">
        <is>
          <t>Lap timing system</t>
        </is>
      </c>
      <c r="E92" s="13" t="inlineStr">
        <is>
          <t>AiM / transponder-based timing beacons</t>
        </is>
      </c>
      <c r="F92" s="14" t="n">
        <v>1</v>
      </c>
      <c r="G92" s="15" t="n">
        <v>600</v>
      </c>
      <c r="H92" s="16">
        <f>F92*G92</f>
        <v/>
      </c>
      <c r="I92" s="14" t="n">
        <v>0</v>
      </c>
      <c r="J92" s="14" t="n">
        <v>1</v>
      </c>
      <c r="K92" s="14" t="n">
        <v>1</v>
      </c>
      <c r="L92" s="16">
        <f>$H92*I92</f>
        <v/>
      </c>
      <c r="M92" s="16">
        <f>$H92*J92</f>
        <v/>
      </c>
      <c r="N92" s="16">
        <f>$H92*K92</f>
        <v/>
      </c>
      <c r="O92" s="12" t="inlineStr">
        <is>
          <t>Medium</t>
        </is>
      </c>
      <c r="P92" s="12" t="inlineStr">
        <is>
          <t>3-4 weeks</t>
        </is>
      </c>
      <c r="Q92" s="12" t="inlineStr">
        <is>
          <t>Yes — AiM/MoTeC support FS teams</t>
        </is>
      </c>
      <c r="R92" s="12" t="inlineStr">
        <is>
          <t>n/a</t>
        </is>
      </c>
      <c r="S92" s="13" t="inlineStr">
        <is>
          <t>Reuse the existing EV DAQ where possible.</t>
        </is>
      </c>
    </row>
    <row r="93" ht="28" customHeight="1">
      <c r="A93" s="12" t="inlineStr">
        <is>
          <t>DV-090</t>
        </is>
      </c>
      <c r="B93" s="12" t="inlineStr">
        <is>
          <t>Testing — Evan</t>
        </is>
      </c>
      <c r="C93" s="12" t="inlineStr">
        <is>
          <t>Test Equipment</t>
        </is>
      </c>
      <c r="D93" s="13" t="inlineStr">
        <is>
          <t>Test-day site kit</t>
        </is>
      </c>
      <c r="E93" s="13" t="inlineStr">
        <is>
          <t>Pop-up canopy, generator/battery power, folding tables, tie-downs</t>
        </is>
      </c>
      <c r="F93" s="14" t="n">
        <v>1</v>
      </c>
      <c r="G93" s="15" t="n">
        <v>1200</v>
      </c>
      <c r="H93" s="16">
        <f>F93*G93</f>
        <v/>
      </c>
      <c r="I93" s="14" t="n">
        <v>0</v>
      </c>
      <c r="J93" s="14" t="n">
        <v>1</v>
      </c>
      <c r="K93" s="14" t="n">
        <v>1</v>
      </c>
      <c r="L93" s="16">
        <f>$H93*I93</f>
        <v/>
      </c>
      <c r="M93" s="16">
        <f>$H93*J93</f>
        <v/>
      </c>
      <c r="N93" s="16">
        <f>$H93*K93</f>
        <v/>
      </c>
      <c r="O93" s="12" t="inlineStr">
        <is>
          <t>Medium</t>
        </is>
      </c>
      <c r="P93" s="12" t="inlineStr">
        <is>
          <t>2-3 weeks</t>
        </is>
      </c>
      <c r="Q93" s="12" t="inlineStr">
        <is>
          <t>Possible</t>
        </is>
      </c>
      <c r="R93" s="12" t="inlineStr">
        <is>
          <t>n/a</t>
        </is>
      </c>
      <c r="S93" s="13" t="inlineStr">
        <is>
          <t>You get a short Manitoba outdoor season — do not lose days to weather or lack of power.</t>
        </is>
      </c>
    </row>
    <row r="94" ht="28" customHeight="1">
      <c r="A94" s="12" t="inlineStr">
        <is>
          <t>DV-091</t>
        </is>
      </c>
      <c r="B94" s="12" t="inlineStr">
        <is>
          <t>Testing — Evan</t>
        </is>
      </c>
      <c r="C94" s="12" t="inlineStr">
        <is>
          <t>Test Equipment</t>
        </is>
      </c>
      <c r="D94" s="13" t="inlineStr">
        <is>
          <t>Test-day toolbox + consumable spares</t>
        </is>
      </c>
      <c r="E94" s="13" t="inlineStr">
        <is>
          <t>Tools, fasteners, zip ties, tape, spare connectors, spare cones</t>
        </is>
      </c>
      <c r="F94" s="14" t="n">
        <v>1</v>
      </c>
      <c r="G94" s="15" t="n">
        <v>800</v>
      </c>
      <c r="H94" s="16">
        <f>F94*G94</f>
        <v/>
      </c>
      <c r="I94" s="14" t="n">
        <v>1</v>
      </c>
      <c r="J94" s="14" t="n">
        <v>1</v>
      </c>
      <c r="K94" s="14" t="n">
        <v>1</v>
      </c>
      <c r="L94" s="16" t="n"/>
      <c r="M94" s="16">
        <f>$H94*J94</f>
        <v/>
      </c>
      <c r="N94" s="16">
        <f>$H94*K94</f>
        <v/>
      </c>
      <c r="O94" s="12" t="inlineStr">
        <is>
          <t>High</t>
        </is>
      </c>
      <c r="P94" s="12" t="inlineStr">
        <is>
          <t>2-3 weeks</t>
        </is>
      </c>
      <c r="Q94" s="12" t="inlineStr">
        <is>
          <t>Possible</t>
        </is>
      </c>
      <c r="R94" s="12" t="inlineStr">
        <is>
          <t>n/a</t>
        </is>
      </c>
      <c r="S94" s="13" t="inlineStr">
        <is>
          <t>Stock spares of every connector and sensor cable on the car.</t>
        </is>
      </c>
    </row>
    <row r="95" ht="28" customHeight="1">
      <c r="A95" s="12" t="inlineStr">
        <is>
          <t>DV-092</t>
        </is>
      </c>
      <c r="B95" s="12" t="inlineStr">
        <is>
          <t>Testing — Evan</t>
        </is>
      </c>
      <c r="C95" s="12" t="inlineStr">
        <is>
          <t>Simulation / HIL</t>
        </is>
      </c>
      <c r="D95" s="13" t="inlineStr">
        <is>
          <t>CI/CD runner machine</t>
        </is>
      </c>
      <c r="E95" s="13" t="inlineStr">
        <is>
          <t>Dedicated self-hosted runner for ROS2 build + regression suite</t>
        </is>
      </c>
      <c r="F95" s="14" t="n">
        <v>1</v>
      </c>
      <c r="G95" s="15" t="n">
        <v>1200</v>
      </c>
      <c r="H95" s="16">
        <f>F95*G95</f>
        <v/>
      </c>
      <c r="I95" s="14" t="n">
        <v>0</v>
      </c>
      <c r="J95" s="14" t="n">
        <v>1</v>
      </c>
      <c r="K95" s="14" t="n">
        <v>1</v>
      </c>
      <c r="L95" s="16">
        <f>$H95*I95</f>
        <v/>
      </c>
      <c r="M95" s="16">
        <f>$H95*J95</f>
        <v/>
      </c>
      <c r="N95" s="16">
        <f>$H95*K95</f>
        <v/>
      </c>
      <c r="O95" s="12" t="inlineStr">
        <is>
          <t>High</t>
        </is>
      </c>
      <c r="P95" s="12" t="inlineStr">
        <is>
          <t>2-4 weeks</t>
        </is>
      </c>
      <c r="Q95" s="12" t="inlineStr">
        <is>
          <t>No</t>
        </is>
      </c>
      <c r="R95" s="12" t="inlineStr">
        <is>
          <t>n/a</t>
        </is>
      </c>
      <c r="S95" s="13" t="inlineStr">
        <is>
          <t>Tier 1: GitHub Actions free education minutes ($0). Testing responsibility #3 on the org chart.</t>
        </is>
      </c>
    </row>
    <row r="96" ht="28" customHeight="1">
      <c r="A96" s="12" t="inlineStr">
        <is>
          <t>DV-093</t>
        </is>
      </c>
      <c r="B96" s="12" t="inlineStr">
        <is>
          <t>Testing — Evan</t>
        </is>
      </c>
      <c r="C96" s="12" t="inlineStr">
        <is>
          <t>Simulation / HIL</t>
        </is>
      </c>
      <c r="D96" s="13" t="inlineStr">
        <is>
          <t>HIL rig (Tier 2 — DIY)</t>
        </is>
      </c>
      <c r="E96" s="13" t="inlineStr">
        <is>
          <t>PREEMPT_RT real-time PC + Kvaser/NI I/O + breakout + sensor/load emulation</t>
        </is>
      </c>
      <c r="F96" s="14" t="n">
        <v>1</v>
      </c>
      <c r="G96" s="15" t="n">
        <v>2500</v>
      </c>
      <c r="H96" s="16">
        <f>F96*G96</f>
        <v/>
      </c>
      <c r="I96" s="14" t="n">
        <v>0</v>
      </c>
      <c r="J96" s="14" t="n">
        <v>1</v>
      </c>
      <c r="K96" s="14" t="n">
        <v>0</v>
      </c>
      <c r="L96" s="16">
        <f>$H96*I96</f>
        <v/>
      </c>
      <c r="M96" s="16">
        <f>$H96*J96</f>
        <v/>
      </c>
      <c r="N96" s="16">
        <f>$H96*K96</f>
        <v/>
      </c>
      <c r="O96" s="12" t="inlineStr">
        <is>
          <t>High</t>
        </is>
      </c>
      <c r="P96" s="12" t="inlineStr">
        <is>
          <t>6-10 weeks</t>
        </is>
      </c>
      <c r="Q96" s="12" t="inlineStr">
        <is>
          <t>Partial</t>
        </is>
      </c>
      <c r="R96" s="12" t="inlineStr">
        <is>
          <t>n/a</t>
        </is>
      </c>
      <c r="S96" s="13" t="inlineStr">
        <is>
          <t>Lets you bench-test the actual EBS and steering ECUs against simulated CAN before touching the car.</t>
        </is>
      </c>
    </row>
    <row r="97">
      <c r="A97" s="12" t="inlineStr">
        <is>
          <t>DV-094</t>
        </is>
      </c>
      <c r="B97" s="12" t="inlineStr">
        <is>
          <t>Testing — Evan</t>
        </is>
      </c>
      <c r="C97" s="12" t="inlineStr">
        <is>
          <t>Simulation / HIL</t>
        </is>
      </c>
      <c r="D97" s="13" t="inlineStr">
        <is>
          <t>HIL rig (Tier 3 — turnkey)</t>
        </is>
      </c>
      <c r="E97" s="13" t="inlineStr">
        <is>
          <t>Speedgoat real-time target + I/O modules</t>
        </is>
      </c>
      <c r="F97" s="14" t="n">
        <v>1</v>
      </c>
      <c r="G97" s="15" t="n">
        <v>8000</v>
      </c>
      <c r="H97" s="16">
        <f>F97*G97</f>
        <v/>
      </c>
      <c r="I97" s="14" t="n">
        <v>0</v>
      </c>
      <c r="J97" s="14" t="n">
        <v>0</v>
      </c>
      <c r="K97" s="14" t="n">
        <v>1</v>
      </c>
      <c r="L97" s="16">
        <f>$H97*I97</f>
        <v/>
      </c>
      <c r="M97" s="16">
        <f>$H97*J97</f>
        <v/>
      </c>
      <c r="N97" s="16">
        <f>$H97*K97</f>
        <v/>
      </c>
      <c r="O97" s="12" t="inlineStr">
        <is>
          <t>Medium</t>
        </is>
      </c>
      <c r="P97" s="12" t="inlineStr">
        <is>
          <t>10-16 weeks</t>
        </is>
      </c>
      <c r="Q97" s="12" t="inlineStr">
        <is>
          <t>YES — Speedgoat explicitly sponsors Formula Student (lists AMZ, Greenteam)</t>
        </is>
      </c>
      <c r="R97" s="12" t="inlineStr">
        <is>
          <t>n/a</t>
        </is>
      </c>
      <c r="S97" s="13" t="inlineStr">
        <is>
          <t>Ask for sponsorship rather than budgeting cash. Integrates directly with Simulink.</t>
        </is>
      </c>
    </row>
    <row r="98" ht="42" customHeight="1">
      <c r="A98" s="12" t="inlineStr">
        <is>
          <t>DV-095</t>
        </is>
      </c>
      <c r="B98" s="12" t="inlineStr">
        <is>
          <t>Testing — Evan</t>
        </is>
      </c>
      <c r="C98" s="12" t="inlineStr">
        <is>
          <t>Facilities / Admin</t>
        </is>
      </c>
      <c r="D98" s="13" t="inlineStr">
        <is>
          <t>Test site agreement + insurance</t>
        </is>
      </c>
      <c r="E98" s="13" t="inlineStr">
        <is>
          <t>Parking lot / kart track / decommissioned airfield use agreement and liability coverage</t>
        </is>
      </c>
      <c r="F98" s="14" t="n">
        <v>1</v>
      </c>
      <c r="G98" s="15" t="n">
        <v>1000</v>
      </c>
      <c r="H98" s="16">
        <f>F98*G98</f>
        <v/>
      </c>
      <c r="I98" s="14" t="n">
        <v>1</v>
      </c>
      <c r="J98" s="14" t="n">
        <v>1</v>
      </c>
      <c r="K98" s="14" t="n">
        <v>1</v>
      </c>
      <c r="L98" s="16" t="n"/>
      <c r="M98" s="16">
        <f>$H98*J98</f>
        <v/>
      </c>
      <c r="N98" s="16">
        <f>$H98*K98</f>
        <v/>
      </c>
      <c r="O98" s="17" t="inlineStr">
        <is>
          <t>Critical</t>
        </is>
      </c>
      <c r="P98" s="12" t="inlineStr">
        <is>
          <t>6-12 weeks</t>
        </is>
      </c>
      <c r="Q98" s="12" t="inlineStr">
        <is>
          <t>Often free via the university</t>
        </is>
      </c>
      <c r="R98" s="12" t="inlineStr">
        <is>
          <t>n/a</t>
        </is>
      </c>
      <c r="S98" s="13" t="inlineStr">
        <is>
          <t>Needs a written use agreement plus liability insurance — route through university risk management and your faculty advisor. You need 75m accel + shutdown, an 18.25m skidpad, and an autocross loop.</t>
        </is>
      </c>
    </row>
    <row r="99" ht="28" customHeight="1">
      <c r="A99" s="12" t="inlineStr">
        <is>
          <t>DV-096</t>
        </is>
      </c>
      <c r="B99" s="12" t="inlineStr">
        <is>
          <t>Testing — Evan</t>
        </is>
      </c>
      <c r="C99" s="12" t="inlineStr">
        <is>
          <t>Facilities / Admin</t>
        </is>
      </c>
      <c r="D99" s="13" t="inlineStr">
        <is>
          <t>Indoor winter test space</t>
        </is>
      </c>
      <c r="E99" s="13" t="inlineStr">
        <is>
          <t>Gym / lab / hangar booking for RC-scale testing Nov-Apr</t>
        </is>
      </c>
      <c r="F99" s="14" t="n">
        <v>1</v>
      </c>
      <c r="G99" s="15" t="n">
        <v>500</v>
      </c>
      <c r="H99" s="16">
        <f>F99*G99</f>
        <v/>
      </c>
      <c r="I99" s="14" t="n">
        <v>1</v>
      </c>
      <c r="J99" s="14" t="n">
        <v>1</v>
      </c>
      <c r="K99" s="14" t="n">
        <v>1</v>
      </c>
      <c r="L99" s="16" t="n"/>
      <c r="M99" s="16">
        <f>$H99*J99</f>
        <v/>
      </c>
      <c r="N99" s="16">
        <f>$H99*K99</f>
        <v/>
      </c>
      <c r="O99" s="12" t="inlineStr">
        <is>
          <t>High</t>
        </is>
      </c>
      <c r="P99" s="12" t="inlineStr">
        <is>
          <t>Book 3-6 months ahead</t>
        </is>
      </c>
      <c r="Q99" s="12" t="inlineStr">
        <is>
          <t>Often free via the university</t>
        </is>
      </c>
      <c r="R99" s="12" t="inlineStr">
        <is>
          <t>n/a</t>
        </is>
      </c>
      <c r="S99" s="13" t="inlineStr">
        <is>
          <t>Winnipeg gives you roughly a 5-month outdoor blackout. Book indoor space early — this is the difference between a productive and a wasted winter.</t>
        </is>
      </c>
    </row>
    <row r="100" ht="28" customHeight="1">
      <c r="A100" s="12" t="inlineStr">
        <is>
          <t>DV-097</t>
        </is>
      </c>
      <c r="B100" s="12" t="inlineStr">
        <is>
          <t>Sim — Ethan</t>
        </is>
      </c>
      <c r="C100" s="12" t="inlineStr">
        <is>
          <t>Simulation / HIL</t>
        </is>
      </c>
      <c r="D100" s="13" t="inlineStr">
        <is>
          <t>Simulation stack</t>
        </is>
      </c>
      <c r="E100" s="13" t="inlineStr">
        <is>
          <t>FSDS (UE4+AirSim), FSSIM, EUFS Sim, CARLA, AWSIM, Gazebo</t>
        </is>
      </c>
      <c r="F100" s="14" t="n">
        <v>1</v>
      </c>
      <c r="G100" s="15" t="n">
        <v>0</v>
      </c>
      <c r="H100" s="16">
        <f>F100*G100</f>
        <v/>
      </c>
      <c r="I100" s="14" t="n">
        <v>1</v>
      </c>
      <c r="J100" s="14" t="n">
        <v>1</v>
      </c>
      <c r="K100" s="14" t="n">
        <v>1</v>
      </c>
      <c r="L100" s="16">
        <f>$H100*I100</f>
        <v/>
      </c>
      <c r="M100" s="16">
        <f>$H100*J100</f>
        <v/>
      </c>
      <c r="N100" s="16">
        <f>$H100*K100</f>
        <v/>
      </c>
      <c r="O100" s="17" t="inlineStr">
        <is>
          <t>Critical</t>
        </is>
      </c>
      <c r="P100" s="12" t="inlineStr">
        <is>
          <t>Immediate</t>
        </is>
      </c>
      <c r="Q100" s="12" t="inlineStr">
        <is>
          <t>Free / open source</t>
        </is>
      </c>
      <c r="R100" s="12" t="inlineStr">
        <is>
          <t>n/a</t>
        </is>
      </c>
      <c r="S100" s="13" t="inlineStr">
        <is>
          <t>FSDS is the FS-specific standard (used for FS-Online 2020). FSSIM predicted gotthard's FSG 2018 trackdrive lap time to 1%. LGSVL/SVL is deprecated — do not start there.</t>
        </is>
      </c>
    </row>
    <row r="101" ht="28" customHeight="1">
      <c r="A101" s="12" t="inlineStr">
        <is>
          <t>DV-098</t>
        </is>
      </c>
      <c r="B101" s="12" t="inlineStr">
        <is>
          <t>Sim — Ethan</t>
        </is>
      </c>
      <c r="C101" s="12" t="inlineStr">
        <is>
          <t>Compute</t>
        </is>
      </c>
      <c r="D101" s="13" t="inlineStr">
        <is>
          <t>Simulation / visualisation workstation</t>
        </is>
      </c>
      <c r="E101" s="13" t="inlineStr">
        <is>
          <t>RTX 4070+ build, 32-64GB RAM, for UE4-class sim and data viz</t>
        </is>
      </c>
      <c r="F101" s="14" t="n">
        <v>1</v>
      </c>
      <c r="G101" s="15" t="n">
        <v>2200</v>
      </c>
      <c r="H101" s="16">
        <f>F101*G101</f>
        <v/>
      </c>
      <c r="I101" s="14" t="n">
        <v>0</v>
      </c>
      <c r="J101" s="14" t="n">
        <v>1</v>
      </c>
      <c r="K101" s="14" t="n">
        <v>0</v>
      </c>
      <c r="L101" s="16">
        <f>$H101*I101</f>
        <v/>
      </c>
      <c r="M101" s="16">
        <f>$H101*J101</f>
        <v/>
      </c>
      <c r="N101" s="16">
        <f>$H101*K101</f>
        <v/>
      </c>
      <c r="O101" s="12" t="inlineStr">
        <is>
          <t>High</t>
        </is>
      </c>
      <c r="P101" s="12" t="inlineStr">
        <is>
          <t>2-4 weeks</t>
        </is>
      </c>
      <c r="Q101" s="12" t="inlineStr">
        <is>
          <t>Yes — NVIDIA academic</t>
        </is>
      </c>
      <c r="R101" s="12" t="inlineStr">
        <is>
          <t>n/a</t>
        </is>
      </c>
      <c r="S101" s="13" t="inlineStr">
        <is>
          <t>Tier 1: reuse existing lab PCs ($0). FSDS is UE4-based and needs a real GPU.</t>
        </is>
      </c>
    </row>
    <row r="102" ht="28" customHeight="1">
      <c r="A102" s="12" t="inlineStr">
        <is>
          <t>DV-099</t>
        </is>
      </c>
      <c r="B102" s="12" t="inlineStr">
        <is>
          <t>Sim — Ethan</t>
        </is>
      </c>
      <c r="C102" s="12" t="inlineStr">
        <is>
          <t>Compute</t>
        </is>
      </c>
      <c r="D102" s="13" t="inlineStr">
        <is>
          <t>Sim workstations + headless sim server</t>
        </is>
      </c>
      <c r="E102" s="13" t="inlineStr">
        <is>
          <t>2x RTX workstations + a headless server for overnight regression sweeps</t>
        </is>
      </c>
      <c r="F102" s="14" t="n">
        <v>1</v>
      </c>
      <c r="G102" s="15" t="n">
        <v>8000</v>
      </c>
      <c r="H102" s="16">
        <f>F102*G102</f>
        <v/>
      </c>
      <c r="I102" s="14" t="n">
        <v>0</v>
      </c>
      <c r="J102" s="14" t="n">
        <v>0</v>
      </c>
      <c r="K102" s="14" t="n">
        <v>1</v>
      </c>
      <c r="L102" s="16">
        <f>$H102*I102</f>
        <v/>
      </c>
      <c r="M102" s="16">
        <f>$H102*J102</f>
        <v/>
      </c>
      <c r="N102" s="16">
        <f>$H102*K102</f>
        <v/>
      </c>
      <c r="O102" s="12" t="inlineStr">
        <is>
          <t>Medium</t>
        </is>
      </c>
      <c r="P102" s="12" t="inlineStr">
        <is>
          <t>4-6 weeks</t>
        </is>
      </c>
      <c r="Q102" s="12" t="inlineStr">
        <is>
          <t>Yes — NVIDIA academic</t>
        </is>
      </c>
      <c r="R102" s="12" t="inlineStr">
        <is>
          <t>n/a</t>
        </is>
      </c>
      <c r="S102" s="13" t="inlineStr">
        <is>
          <t>Enables the sim-based regression suite Testing owns (their responsibility #2).</t>
        </is>
      </c>
    </row>
    <row r="103">
      <c r="A103" s="12" t="inlineStr">
        <is>
          <t>DV-100</t>
        </is>
      </c>
      <c r="B103" s="12" t="inlineStr">
        <is>
          <t>Sim — Ethan</t>
        </is>
      </c>
      <c r="C103" s="12" t="inlineStr">
        <is>
          <t>Data / Storage</t>
        </is>
      </c>
      <c r="D103" s="13" t="inlineStr">
        <is>
          <t>Test data storage (Tier 1)</t>
        </is>
      </c>
      <c r="E103" s="13" t="inlineStr">
        <is>
          <t>2x 4TB external USB SSD/HDD for test-day offload</t>
        </is>
      </c>
      <c r="F103" s="14" t="n">
        <v>2</v>
      </c>
      <c r="G103" s="15" t="n">
        <v>150</v>
      </c>
      <c r="H103" s="16">
        <f>F103*G103</f>
        <v/>
      </c>
      <c r="I103" s="14" t="n">
        <v>1</v>
      </c>
      <c r="J103" s="14" t="n">
        <v>0</v>
      </c>
      <c r="K103" s="14" t="n">
        <v>0</v>
      </c>
      <c r="L103" s="16" t="n"/>
      <c r="M103" s="16">
        <f>$H103*J103</f>
        <v/>
      </c>
      <c r="N103" s="16">
        <f>$H103*K103</f>
        <v/>
      </c>
      <c r="O103" s="17" t="inlineStr">
        <is>
          <t>Critical</t>
        </is>
      </c>
      <c r="P103" s="12" t="inlineStr">
        <is>
          <t>1-2 weeks</t>
        </is>
      </c>
      <c r="Q103" s="12" t="inlineStr">
        <is>
          <t>No</t>
        </is>
      </c>
      <c r="R103" s="12" t="inlineStr">
        <is>
          <t>n/a</t>
        </is>
      </c>
      <c r="S103" s="13" t="inlineStr">
        <is>
          <t>Storage architecture and data integrity are Sim responsibilities #2. Expect 1-2TB per full test day.</t>
        </is>
      </c>
    </row>
    <row r="104" ht="28" customHeight="1">
      <c r="A104" s="12" t="inlineStr">
        <is>
          <t>DV-101</t>
        </is>
      </c>
      <c r="B104" s="12" t="inlineStr">
        <is>
          <t>Sim — Ethan</t>
        </is>
      </c>
      <c r="C104" s="12" t="inlineStr">
        <is>
          <t>Data / Storage</t>
        </is>
      </c>
      <c r="D104" s="13" t="inlineStr">
        <is>
          <t>NAS + redundant array (Tier 2)</t>
        </is>
      </c>
      <c r="E104" s="13" t="inlineStr">
        <is>
          <t>4-bay NAS + 4x 8TB drives, RAID, nightly offload workflow</t>
        </is>
      </c>
      <c r="F104" s="14" t="n">
        <v>1</v>
      </c>
      <c r="G104" s="15" t="n">
        <v>1600</v>
      </c>
      <c r="H104" s="16">
        <f>F104*G104</f>
        <v/>
      </c>
      <c r="I104" s="14" t="n">
        <v>0</v>
      </c>
      <c r="J104" s="14" t="n">
        <v>1</v>
      </c>
      <c r="K104" s="14" t="n">
        <v>0</v>
      </c>
      <c r="L104" s="16">
        <f>$H104*I104</f>
        <v/>
      </c>
      <c r="M104" s="16">
        <f>$H104*J104</f>
        <v/>
      </c>
      <c r="N104" s="16">
        <f>$H104*K104</f>
        <v/>
      </c>
      <c r="O104" s="17" t="inlineStr">
        <is>
          <t>Critical</t>
        </is>
      </c>
      <c r="P104" s="12" t="inlineStr">
        <is>
          <t>2-4 weeks</t>
        </is>
      </c>
      <c r="Q104" s="12" t="inlineStr">
        <is>
          <t>No</t>
        </is>
      </c>
      <c r="R104" s="12" t="inlineStr">
        <is>
          <t>n/a</t>
        </is>
      </c>
      <c r="S104" s="13" t="inlineStr">
        <is>
          <t>Redundancy matters — a lost rosbag is a lost test day you cannot repeat in a Manitoba winter.</t>
        </is>
      </c>
    </row>
    <row r="105">
      <c r="A105" s="12" t="inlineStr">
        <is>
          <t>DV-102</t>
        </is>
      </c>
      <c r="B105" s="12" t="inlineStr">
        <is>
          <t>Sim — Ethan</t>
        </is>
      </c>
      <c r="C105" s="12" t="inlineStr">
        <is>
          <t>Data / Storage</t>
        </is>
      </c>
      <c r="D105" s="13" t="inlineStr">
        <is>
          <t>Expanded NAS / archive (Tier 3)</t>
        </is>
      </c>
      <c r="E105" s="13" t="inlineStr">
        <is>
          <t>40TB+ NAS with offsite/cloud backup tier</t>
        </is>
      </c>
      <c r="F105" s="14" t="n">
        <v>1</v>
      </c>
      <c r="G105" s="15" t="n">
        <v>3500</v>
      </c>
      <c r="H105" s="16">
        <f>F105*G105</f>
        <v/>
      </c>
      <c r="I105" s="14" t="n">
        <v>0</v>
      </c>
      <c r="J105" s="14" t="n">
        <v>0</v>
      </c>
      <c r="K105" s="14" t="n">
        <v>1</v>
      </c>
      <c r="L105" s="16">
        <f>$H105*I105</f>
        <v/>
      </c>
      <c r="M105" s="16">
        <f>$H105*J105</f>
        <v/>
      </c>
      <c r="N105" s="16">
        <f>$H105*K105</f>
        <v/>
      </c>
      <c r="O105" s="12" t="inlineStr">
        <is>
          <t>High</t>
        </is>
      </c>
      <c r="P105" s="12" t="inlineStr">
        <is>
          <t>3-5 weeks</t>
        </is>
      </c>
      <c r="Q105" s="12" t="inlineStr">
        <is>
          <t>Possible (campus IT)</t>
        </is>
      </c>
      <c r="R105" s="12" t="inlineStr">
        <is>
          <t>n/a</t>
        </is>
      </c>
      <c r="S105" s="13" t="inlineStr">
        <is>
          <t>Ask campus IT about existing research storage allocations before buying.</t>
        </is>
      </c>
    </row>
    <row r="106">
      <c r="A106" s="12" t="inlineStr">
        <is>
          <t>DV-103</t>
        </is>
      </c>
      <c r="B106" s="12" t="inlineStr">
        <is>
          <t>Sim — Ethan</t>
        </is>
      </c>
      <c r="C106" s="12" t="inlineStr">
        <is>
          <t>Data / Storage</t>
        </is>
      </c>
      <c r="D106" s="13" t="inlineStr">
        <is>
          <t>Portable test-day SSDs</t>
        </is>
      </c>
      <c r="E106" s="13" t="inlineStr">
        <is>
          <t>2x 2TB rugged portable SSD for track-to-NAS transfer</t>
        </is>
      </c>
      <c r="F106" s="14" t="n">
        <v>2</v>
      </c>
      <c r="G106" s="15" t="n">
        <v>150</v>
      </c>
      <c r="H106" s="16">
        <f>F106*G106</f>
        <v/>
      </c>
      <c r="I106" s="14" t="n">
        <v>1</v>
      </c>
      <c r="J106" s="14" t="n">
        <v>1</v>
      </c>
      <c r="K106" s="14" t="n">
        <v>1</v>
      </c>
      <c r="L106" s="16" t="n"/>
      <c r="M106" s="16">
        <f>$H106*J106</f>
        <v/>
      </c>
      <c r="N106" s="16">
        <f>$H106*K106</f>
        <v/>
      </c>
      <c r="O106" s="12" t="inlineStr">
        <is>
          <t>High</t>
        </is>
      </c>
      <c r="P106" s="12" t="inlineStr">
        <is>
          <t>1-2 weeks</t>
        </is>
      </c>
      <c r="Q106" s="12" t="inlineStr">
        <is>
          <t>No</t>
        </is>
      </c>
      <c r="R106" s="12" t="inlineStr">
        <is>
          <t>n/a</t>
        </is>
      </c>
      <c r="S106" s="13" t="inlineStr">
        <is>
          <t>Offload at the track, not the next morning.</t>
        </is>
      </c>
    </row>
    <row r="107">
      <c r="A107" s="12" t="inlineStr">
        <is>
          <t>DV-104</t>
        </is>
      </c>
      <c r="B107" s="12" t="inlineStr">
        <is>
          <t>Sim — Ethan</t>
        </is>
      </c>
      <c r="C107" s="12" t="inlineStr">
        <is>
          <t>Software / License</t>
        </is>
      </c>
      <c r="D107" s="13" t="inlineStr">
        <is>
          <t>Visualisation and log tooling</t>
        </is>
      </c>
      <c r="E107" s="13" t="inlineStr">
        <is>
          <t>Foxglove Studio, PlotJuggler, rerun.io, MCAP tooling</t>
        </is>
      </c>
      <c r="F107" s="14" t="n">
        <v>1</v>
      </c>
      <c r="G107" s="15" t="n">
        <v>0</v>
      </c>
      <c r="H107" s="16">
        <f>F107*G107</f>
        <v/>
      </c>
      <c r="I107" s="14" t="n">
        <v>1</v>
      </c>
      <c r="J107" s="14" t="n">
        <v>1</v>
      </c>
      <c r="K107" s="14" t="n">
        <v>1</v>
      </c>
      <c r="L107" s="16">
        <f>$H107*I107</f>
        <v/>
      </c>
      <c r="M107" s="16">
        <f>$H107*J107</f>
        <v/>
      </c>
      <c r="N107" s="16">
        <f>$H107*K107</f>
        <v/>
      </c>
      <c r="O107" s="12" t="inlineStr">
        <is>
          <t>High</t>
        </is>
      </c>
      <c r="P107" s="12" t="inlineStr">
        <is>
          <t>Immediate</t>
        </is>
      </c>
      <c r="Q107" s="12" t="inlineStr">
        <is>
          <t>Free tiers</t>
        </is>
      </c>
      <c r="R107" s="12" t="inlineStr">
        <is>
          <t>n/a</t>
        </is>
      </c>
      <c r="S107" s="13" t="inlineStr">
        <is>
          <t>Foxglove has a free tier; the paid team tier is optional. MCAP is the modern rosbag format.</t>
        </is>
      </c>
    </row>
    <row r="108">
      <c r="A108" s="12" t="inlineStr">
        <is>
          <t>DV-105</t>
        </is>
      </c>
      <c r="B108" s="12" t="inlineStr">
        <is>
          <t>Sim — Ethan</t>
        </is>
      </c>
      <c r="C108" s="12" t="inlineStr">
        <is>
          <t>Software / License</t>
        </is>
      </c>
      <c r="D108" s="13" t="inlineStr">
        <is>
          <t>Labelling platform</t>
        </is>
      </c>
      <c r="E108" s="13" t="inlineStr">
        <is>
          <t>CVAT (self-hosted, free) or Roboflow paid tier</t>
        </is>
      </c>
      <c r="F108" s="14" t="n">
        <v>1</v>
      </c>
      <c r="G108" s="15" t="n">
        <v>250</v>
      </c>
      <c r="H108" s="16">
        <f>F108*G108</f>
        <v/>
      </c>
      <c r="I108" s="14" t="n">
        <v>0</v>
      </c>
      <c r="J108" s="14" t="n">
        <v>1</v>
      </c>
      <c r="K108" s="14" t="n">
        <v>1</v>
      </c>
      <c r="L108" s="16">
        <f>$H108*I108</f>
        <v/>
      </c>
      <c r="M108" s="16">
        <f>$H108*J108</f>
        <v/>
      </c>
      <c r="N108" s="16">
        <f>$H108*K108</f>
        <v/>
      </c>
      <c r="O108" s="12" t="inlineStr">
        <is>
          <t>Medium</t>
        </is>
      </c>
      <c r="P108" s="12" t="inlineStr">
        <is>
          <t>1 week</t>
        </is>
      </c>
      <c r="Q108" s="12" t="inlineStr">
        <is>
          <t>Possible</t>
        </is>
      </c>
      <c r="R108" s="12" t="inlineStr">
        <is>
          <t>n/a</t>
        </is>
      </c>
      <c r="S108" s="13" t="inlineStr">
        <is>
          <t>Sim responsibility #6 (multi-modal labelling). Self-hosted CVAT is $0 if you have a spare machine.</t>
        </is>
      </c>
    </row>
    <row r="109" ht="28" customHeight="1">
      <c r="A109" s="12" t="inlineStr">
        <is>
          <t>DV-106</t>
        </is>
      </c>
      <c r="B109" s="12" t="inlineStr">
        <is>
          <t>Sim — Ethan</t>
        </is>
      </c>
      <c r="C109" s="12" t="inlineStr">
        <is>
          <t>Software / License</t>
        </is>
      </c>
      <c r="D109" s="13" t="inlineStr">
        <is>
          <t>Commercial simulation (sponsorship route)</t>
        </is>
      </c>
      <c r="E109" s="13" t="inlineStr">
        <is>
          <t>IPG CarMaker, Ansys AVxcelerate, dSPACE ASM, MATLAB RoadRunner</t>
        </is>
      </c>
      <c r="F109" s="14" t="n">
        <v>1</v>
      </c>
      <c r="G109" s="15" t="n">
        <v>0</v>
      </c>
      <c r="H109" s="16">
        <f>F109*G109</f>
        <v/>
      </c>
      <c r="I109" s="14" t="n">
        <v>1</v>
      </c>
      <c r="J109" s="14" t="n">
        <v>1</v>
      </c>
      <c r="K109" s="14" t="n">
        <v>1</v>
      </c>
      <c r="L109" s="16">
        <f>$H109*I109</f>
        <v/>
      </c>
      <c r="M109" s="16">
        <f>$H109*J109</f>
        <v/>
      </c>
      <c r="N109" s="16">
        <f>$H109*K109</f>
        <v/>
      </c>
      <c r="O109" s="12" t="inlineStr">
        <is>
          <t>Medium</t>
        </is>
      </c>
      <c r="P109" s="12" t="inlineStr">
        <is>
          <t>8-12 weeks</t>
        </is>
      </c>
      <c r="Q109" s="12" t="inlineStr">
        <is>
          <t>YES — all four run student/FS programmes</t>
        </is>
      </c>
      <c r="R109" s="12" t="inlineStr">
        <is>
          <t>n/a</t>
        </is>
      </c>
      <c r="S109" s="13" t="inlineStr">
        <is>
          <t>RoadRunner is free for education. CarMaker/AVxcelerate/dSPACE are five-figure licences that FS teams routinely get sponsored — apply, do not budget cash.</t>
        </is>
      </c>
    </row>
    <row r="110" ht="28" customHeight="1">
      <c r="A110" s="12" t="inlineStr">
        <is>
          <t>DV-107</t>
        </is>
      </c>
      <c r="B110" s="12" t="inlineStr">
        <is>
          <t>Sim — Ethan</t>
        </is>
      </c>
      <c r="C110" s="12" t="inlineStr">
        <is>
          <t>Test Equipment</t>
        </is>
      </c>
      <c r="D110" s="13" t="inlineStr">
        <is>
          <t>Driver-in-the-loop input rig</t>
        </is>
      </c>
      <c r="E110" s="13" t="inlineStr">
        <is>
          <t>Force-feedback wheel + pedals for human-baseline comparison runs</t>
        </is>
      </c>
      <c r="F110" s="14" t="n">
        <v>1</v>
      </c>
      <c r="G110" s="15" t="n">
        <v>400</v>
      </c>
      <c r="H110" s="16">
        <f>F110*G110</f>
        <v/>
      </c>
      <c r="I110" s="14" t="n">
        <v>0</v>
      </c>
      <c r="J110" s="14" t="n">
        <v>0</v>
      </c>
      <c r="K110" s="14" t="n">
        <v>1</v>
      </c>
      <c r="L110" s="16">
        <f>$H110*I110</f>
        <v/>
      </c>
      <c r="M110" s="16">
        <f>$H110*J110</f>
        <v/>
      </c>
      <c r="N110" s="16">
        <f>$H110*K110</f>
        <v/>
      </c>
      <c r="O110" s="12" t="inlineStr">
        <is>
          <t>Low</t>
        </is>
      </c>
      <c r="P110" s="12" t="inlineStr">
        <is>
          <t>2-3 weeks</t>
        </is>
      </c>
      <c r="Q110" s="12" t="inlineStr">
        <is>
          <t>No</t>
        </is>
      </c>
      <c r="R110" s="12" t="inlineStr">
        <is>
          <t>n/a</t>
        </is>
      </c>
      <c r="S110" s="13" t="inlineStr">
        <is>
          <t>Nice-to-have for benchmarking the autonomous line against a human reference.</t>
        </is>
      </c>
    </row>
    <row r="111">
      <c r="A111" s="12" t="inlineStr">
        <is>
          <t>DV-108</t>
        </is>
      </c>
      <c r="B111" s="12" t="inlineStr">
        <is>
          <t>Web — Geet</t>
        </is>
      </c>
      <c r="C111" s="12" t="inlineStr">
        <is>
          <t>Web / Comms</t>
        </is>
      </c>
      <c r="D111" s="13" t="inlineStr">
        <is>
          <t>Domain name</t>
        </is>
      </c>
      <c r="E111" s="13" t="inlineStr">
        <is>
          <t>Team/DV subdomain registration, annual</t>
        </is>
      </c>
      <c r="F111" s="14" t="n">
        <v>1</v>
      </c>
      <c r="G111" s="15" t="n">
        <v>20</v>
      </c>
      <c r="H111" s="16">
        <f>F111*G111</f>
        <v/>
      </c>
      <c r="I111" s="14" t="n">
        <v>1</v>
      </c>
      <c r="J111" s="14" t="n">
        <v>1</v>
      </c>
      <c r="K111" s="14" t="n">
        <v>1</v>
      </c>
      <c r="L111" s="16" t="n"/>
      <c r="M111" s="16">
        <f>$H111*J111</f>
        <v/>
      </c>
      <c r="N111" s="16">
        <f>$H111*K111</f>
        <v/>
      </c>
      <c r="O111" s="12" t="inlineStr">
        <is>
          <t>Medium</t>
        </is>
      </c>
      <c r="P111" s="12" t="inlineStr">
        <is>
          <t>Immediate</t>
        </is>
      </c>
      <c r="Q111" s="12" t="inlineStr">
        <is>
          <t>Possible (university subdomain is free)</t>
        </is>
      </c>
      <c r="R111" s="12" t="inlineStr">
        <is>
          <t>n/a</t>
        </is>
      </c>
      <c r="S111" s="13" t="inlineStr">
        <is>
          <t>Ask the university for a subdomain first — often free and more credible to sponsors.</t>
        </is>
      </c>
    </row>
    <row r="112" ht="28" customHeight="1">
      <c r="A112" s="12" t="inlineStr">
        <is>
          <t>DV-109</t>
        </is>
      </c>
      <c r="B112" s="12" t="inlineStr">
        <is>
          <t>Web — Geet</t>
        </is>
      </c>
      <c r="C112" s="12" t="inlineStr">
        <is>
          <t>Web / Comms</t>
        </is>
      </c>
      <c r="D112" s="13" t="inlineStr">
        <is>
          <t>Hosting + docs platform</t>
        </is>
      </c>
      <c r="E112" s="13" t="inlineStr">
        <is>
          <t>GitHub Pages / Netlify / Vercel free tier + Docusaurus or MkDocs</t>
        </is>
      </c>
      <c r="F112" s="14" t="n">
        <v>1</v>
      </c>
      <c r="G112" s="15" t="n">
        <v>0</v>
      </c>
      <c r="H112" s="16">
        <f>F112*G112</f>
        <v/>
      </c>
      <c r="I112" s="14" t="n">
        <v>1</v>
      </c>
      <c r="J112" s="14" t="n">
        <v>0</v>
      </c>
      <c r="K112" s="14" t="n">
        <v>0</v>
      </c>
      <c r="L112" s="16">
        <f>$H112*I112</f>
        <v/>
      </c>
      <c r="M112" s="16">
        <f>$H112*J112</f>
        <v/>
      </c>
      <c r="N112" s="16">
        <f>$H112*K112</f>
        <v/>
      </c>
      <c r="O112" s="12" t="inlineStr">
        <is>
          <t>Medium</t>
        </is>
      </c>
      <c r="P112" s="12" t="inlineStr">
        <is>
          <t>Immediate</t>
        </is>
      </c>
      <c r="Q112" s="12" t="inlineStr">
        <is>
          <t>Free tiers</t>
        </is>
      </c>
      <c r="R112" s="12" t="inlineStr">
        <is>
          <t>n/a</t>
        </is>
      </c>
      <c r="S112" s="13" t="inlineStr">
        <is>
          <t>Docs-as-code in the same repo keeps documentation in sync with the version-control strategy.</t>
        </is>
      </c>
    </row>
    <row r="113" ht="28" customHeight="1">
      <c r="A113" s="12" t="inlineStr">
        <is>
          <t>DV-110</t>
        </is>
      </c>
      <c r="B113" s="12" t="inlineStr">
        <is>
          <t>Web — Geet</t>
        </is>
      </c>
      <c r="C113" s="12" t="inlineStr">
        <is>
          <t>Web / Comms</t>
        </is>
      </c>
      <c r="D113" s="13" t="inlineStr">
        <is>
          <t>Hosting paid tier</t>
        </is>
      </c>
      <c r="E113" s="13" t="inlineStr">
        <is>
          <t>Vercel Pro / Netlify Pro, annual — for build minutes and team seats</t>
        </is>
      </c>
      <c r="F113" s="14" t="n">
        <v>1</v>
      </c>
      <c r="G113" s="15" t="n">
        <v>240</v>
      </c>
      <c r="H113" s="16">
        <f>F113*G113</f>
        <v/>
      </c>
      <c r="I113" s="14" t="n">
        <v>0</v>
      </c>
      <c r="J113" s="14" t="n">
        <v>1</v>
      </c>
      <c r="K113" s="14" t="n">
        <v>1</v>
      </c>
      <c r="L113" s="16">
        <f>$H113*I113</f>
        <v/>
      </c>
      <c r="M113" s="16">
        <f>$H113*J113</f>
        <v/>
      </c>
      <c r="N113" s="16">
        <f>$H113*K113</f>
        <v/>
      </c>
      <c r="O113" s="12" t="inlineStr">
        <is>
          <t>Low</t>
        </is>
      </c>
      <c r="P113" s="12" t="inlineStr">
        <is>
          <t>Immediate</t>
        </is>
      </c>
      <c r="Q113" s="12" t="inlineStr">
        <is>
          <t>Possible</t>
        </is>
      </c>
      <c r="R113" s="12" t="inlineStr">
        <is>
          <t>n/a</t>
        </is>
      </c>
      <c r="S113" s="13" t="inlineStr">
        <is>
          <t>Only needed once build minutes or seat limits actually bite.</t>
        </is>
      </c>
    </row>
    <row r="114">
      <c r="A114" s="12" t="inlineStr">
        <is>
          <t>DV-111</t>
        </is>
      </c>
      <c r="B114" s="12" t="inlineStr">
        <is>
          <t>Web — Geet</t>
        </is>
      </c>
      <c r="C114" s="12" t="inlineStr">
        <is>
          <t>Web / Comms</t>
        </is>
      </c>
      <c r="D114" s="13" t="inlineStr">
        <is>
          <t>Design assets</t>
        </is>
      </c>
      <c r="E114" s="13" t="inlineStr">
        <is>
          <t>Icon/font licences, sponsor-facing brand assets</t>
        </is>
      </c>
      <c r="F114" s="14" t="n">
        <v>1</v>
      </c>
      <c r="G114" s="15" t="n">
        <v>100</v>
      </c>
      <c r="H114" s="16">
        <f>F114*G114</f>
        <v/>
      </c>
      <c r="I114" s="14" t="n">
        <v>0</v>
      </c>
      <c r="J114" s="14" t="n">
        <v>1</v>
      </c>
      <c r="K114" s="14" t="n">
        <v>1</v>
      </c>
      <c r="L114" s="16">
        <f>$H114*I114</f>
        <v/>
      </c>
      <c r="M114" s="16">
        <f>$H114*J114</f>
        <v/>
      </c>
      <c r="N114" s="16">
        <f>$H114*K114</f>
        <v/>
      </c>
      <c r="O114" s="12" t="inlineStr">
        <is>
          <t>Low</t>
        </is>
      </c>
      <c r="P114" s="12" t="inlineStr">
        <is>
          <t>1 week</t>
        </is>
      </c>
      <c r="Q114" s="12" t="inlineStr">
        <is>
          <t>Possible</t>
        </is>
      </c>
      <c r="R114" s="12" t="inlineStr">
        <is>
          <t>n/a</t>
        </is>
      </c>
      <c r="S114" s="13" t="inlineStr">
        <is>
          <t>A credible public site materially helps sponsorship conversations.</t>
        </is>
      </c>
    </row>
    <row r="116">
      <c r="D116" s="19" t="inlineStr">
        <is>
          <t>TOTAL BY TIER</t>
        </is>
      </c>
      <c r="L116" s="20">
        <f>SUM(L4:L114)</f>
        <v/>
      </c>
      <c r="M116" s="20">
        <f>SUM(M4:M114)</f>
        <v/>
      </c>
      <c r="N116" s="20">
        <f>SUM(N4:N114)</f>
        <v/>
      </c>
    </row>
    <row r="118">
      <c r="D118" s="10" t="inlineStr">
        <is>
          <t>Blue figures in 'Unit Cost' are hardcoded estimates you should overwrite with real quotes. Everything else on this sheet, and every figure on every other sheet, is a formula.</t>
        </is>
      </c>
    </row>
  </sheetData>
  <autoFilter ref="A3:S114"/>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56"/>
  <sheetViews>
    <sheetView zoomScaleNormal="100" workbookViewId="0">
      <selection activeCell="A1" sqref="A1"/>
    </sheetView>
  </sheetViews>
  <sheetFormatPr baseColWidth="10" defaultColWidth="8.6640625" defaultRowHeight="15"/>
  <cols>
    <col width="48" customWidth="1" min="1" max="1"/>
    <col width="20" customWidth="1" min="2" max="4"/>
    <col width="12" customWidth="1" min="5" max="5"/>
    <col width="60" customWidth="1" min="6" max="6"/>
  </cols>
  <sheetData>
    <row r="1" ht="18" customHeight="1">
      <c r="A1" s="9" t="inlineStr">
        <is>
          <t>BUDGET DASHBOARD</t>
        </is>
      </c>
    </row>
    <row r="2">
      <c r="A2" s="10" t="inlineStr">
        <is>
          <t>All figures roll up live from 'Master BOM'. Change any unit cost or tier flag there and this updates.</t>
        </is>
      </c>
    </row>
    <row r="4">
      <c r="A4" s="8" t="inlineStr">
        <is>
          <t>ASSUMPTIONS</t>
        </is>
      </c>
    </row>
    <row r="5">
      <c r="A5" s="21" t="inlineStr">
        <is>
          <t>USD to CAD exchange rate</t>
        </is>
      </c>
      <c r="B5" s="22" t="n">
        <v>1.37</v>
      </c>
      <c r="C5" s="10" t="inlineStr">
        <is>
          <t>Editable — set to today's rate.</t>
        </is>
      </c>
    </row>
    <row r="6">
      <c r="A6" s="21" t="inlineStr">
        <is>
          <t>Duty, brokerage and shipping uplift</t>
        </is>
      </c>
      <c r="B6" s="23" t="n">
        <v>0.12</v>
      </c>
      <c r="C6" s="10" t="inlineStr">
        <is>
          <t>Canadian import uplift on top of USD list. Report guidance: budget 15-25% total including FX movement.</t>
        </is>
      </c>
    </row>
    <row r="8">
      <c r="A8" s="8" t="inlineStr">
        <is>
          <t>SPEND BY ROLE (USD)</t>
        </is>
      </c>
    </row>
    <row r="9" ht="31.5" customHeight="1">
      <c r="A9" s="11" t="inlineStr">
        <is>
          <t>Role (per org chart)</t>
        </is>
      </c>
      <c r="B9" s="11" t="inlineStr">
        <is>
          <t>Tier 1 — Shoestring</t>
        </is>
      </c>
      <c r="C9" s="11" t="inlineStr">
        <is>
          <t>Tier 2 — Moderate</t>
        </is>
      </c>
      <c r="D9" s="11" t="inlineStr">
        <is>
          <t>Tier 3 — Well-funded</t>
        </is>
      </c>
      <c r="E9" s="11" t="inlineStr">
        <is>
          <t>Line items</t>
        </is>
      </c>
    </row>
    <row r="10">
      <c r="A10" s="24" t="inlineStr">
        <is>
          <t>DSO — Caleb</t>
        </is>
      </c>
      <c r="B10" s="25">
        <f>SUMIFS('Master BOM'!$L$4:$L$114,'Master BOM'!$B$4:$B$114,$A10)</f>
        <v/>
      </c>
      <c r="C10" s="25">
        <f>SUMIFS('Master BOM'!$M$4:$M$114,'Master BOM'!$B$4:$B$114,$A10)</f>
        <v/>
      </c>
      <c r="D10" s="25">
        <f>SUMIFS('Master BOM'!$N$4:$N$114,'Master BOM'!$B$4:$B$114,$A10)</f>
        <v/>
      </c>
      <c r="E10" s="26">
        <f>COUNTIFS('Master BOM'!$B$4:$B$114,$A10)</f>
        <v/>
      </c>
    </row>
    <row r="11">
      <c r="A11" s="24" t="inlineStr">
        <is>
          <t>Team-Wide — Everyone</t>
        </is>
      </c>
      <c r="B11" s="25">
        <f>SUMIFS('Master BOM'!$L$4:$L$114,'Master BOM'!$B$4:$B$114,$A11)</f>
        <v/>
      </c>
      <c r="C11" s="25">
        <f>SUMIFS('Master BOM'!$M$4:$M$114,'Master BOM'!$B$4:$B$114,$A11)</f>
        <v/>
      </c>
      <c r="D11" s="25">
        <f>SUMIFS('Master BOM'!$N$4:$N$114,'Master BOM'!$B$4:$B$114,$A11)</f>
        <v/>
      </c>
      <c r="E11" s="26">
        <f>COUNTIFS('Master BOM'!$B$4:$B$114,$A11)</f>
        <v/>
      </c>
    </row>
    <row r="12">
      <c r="A12" s="24" t="inlineStr">
        <is>
          <t>Perception — Amanuel + Irvine + Caleb</t>
        </is>
      </c>
      <c r="B12" s="25">
        <f>SUMIFS('Master BOM'!$L$4:$L$114,'Master BOM'!$B$4:$B$114,$A12)</f>
        <v/>
      </c>
      <c r="C12" s="25">
        <f>SUMIFS('Master BOM'!$M$4:$M$114,'Master BOM'!$B$4:$B$114,$A12)</f>
        <v/>
      </c>
      <c r="D12" s="25">
        <f>SUMIFS('Master BOM'!$N$4:$N$114,'Master BOM'!$B$4:$B$114,$A12)</f>
        <v/>
      </c>
      <c r="E12" s="26">
        <f>COUNTIFS('Master BOM'!$B$4:$B$114,$A12)</f>
        <v/>
      </c>
    </row>
    <row r="13">
      <c r="A13" s="24" t="inlineStr">
        <is>
          <t>Mapping — Angel</t>
        </is>
      </c>
      <c r="B13" s="25">
        <f>SUMIFS('Master BOM'!$L$4:$L$114,'Master BOM'!$B$4:$B$114,$A13)</f>
        <v/>
      </c>
      <c r="C13" s="25">
        <f>SUMIFS('Master BOM'!$M$4:$M$114,'Master BOM'!$B$4:$B$114,$A13)</f>
        <v/>
      </c>
      <c r="D13" s="25">
        <f>SUMIFS('Master BOM'!$N$4:$N$114,'Master BOM'!$B$4:$B$114,$A13)</f>
        <v/>
      </c>
      <c r="E13" s="26">
        <f>COUNTIFS('Master BOM'!$B$4:$B$114,$A13)</f>
        <v/>
      </c>
    </row>
    <row r="14">
      <c r="A14" s="24" t="inlineStr">
        <is>
          <t>Planning — Ced</t>
        </is>
      </c>
      <c r="B14" s="25">
        <f>SUMIFS('Master BOM'!$L$4:$L$114,'Master BOM'!$B$4:$B$114,$A14)</f>
        <v/>
      </c>
      <c r="C14" s="25">
        <f>SUMIFS('Master BOM'!$M$4:$M$114,'Master BOM'!$B$4:$B$114,$A14)</f>
        <v/>
      </c>
      <c r="D14" s="25">
        <f>SUMIFS('Master BOM'!$N$4:$N$114,'Master BOM'!$B$4:$B$114,$A14)</f>
        <v/>
      </c>
      <c r="E14" s="26">
        <f>COUNTIFS('Master BOM'!$B$4:$B$114,$A14)</f>
        <v/>
      </c>
    </row>
    <row r="15">
      <c r="A15" s="24" t="inlineStr">
        <is>
          <t>Firmware — Mason</t>
        </is>
      </c>
      <c r="B15" s="25">
        <f>SUMIFS('Master BOM'!$L$4:$L$114,'Master BOM'!$B$4:$B$114,$A15)</f>
        <v/>
      </c>
      <c r="C15" s="25">
        <f>SUMIFS('Master BOM'!$M$4:$M$114,'Master BOM'!$B$4:$B$114,$A15)</f>
        <v/>
      </c>
      <c r="D15" s="25">
        <f>SUMIFS('Master BOM'!$N$4:$N$114,'Master BOM'!$B$4:$B$114,$A15)</f>
        <v/>
      </c>
      <c r="E15" s="26">
        <f>COUNTIFS('Master BOM'!$B$4:$B$114,$A15)</f>
        <v/>
      </c>
    </row>
    <row r="16">
      <c r="A16" s="27" t="inlineStr">
        <is>
          <t>Mech/EE Interface — UNASSIGNED (DSO coordinates)</t>
        </is>
      </c>
      <c r="B16" s="25">
        <f>SUMIFS('Master BOM'!$L$4:$L$114,'Master BOM'!$B$4:$B$114,$A16)</f>
        <v/>
      </c>
      <c r="C16" s="25">
        <f>SUMIFS('Master BOM'!$M$4:$M$114,'Master BOM'!$B$4:$B$114,$A16)</f>
        <v/>
      </c>
      <c r="D16" s="25">
        <f>SUMIFS('Master BOM'!$N$4:$N$114,'Master BOM'!$B$4:$B$114,$A16)</f>
        <v/>
      </c>
      <c r="E16" s="26">
        <f>COUNTIFS('Master BOM'!$B$4:$B$114,$A16)</f>
        <v/>
      </c>
    </row>
    <row r="17">
      <c r="A17" s="24" t="inlineStr">
        <is>
          <t>Testing — Evan</t>
        </is>
      </c>
      <c r="B17" s="25">
        <f>SUMIFS('Master BOM'!$L$4:$L$114,'Master BOM'!$B$4:$B$114,$A17)</f>
        <v/>
      </c>
      <c r="C17" s="25">
        <f>SUMIFS('Master BOM'!$M$4:$M$114,'Master BOM'!$B$4:$B$114,$A17)</f>
        <v/>
      </c>
      <c r="D17" s="25">
        <f>SUMIFS('Master BOM'!$N$4:$N$114,'Master BOM'!$B$4:$B$114,$A17)</f>
        <v/>
      </c>
      <c r="E17" s="26">
        <f>COUNTIFS('Master BOM'!$B$4:$B$114,$A17)</f>
        <v/>
      </c>
    </row>
    <row r="18">
      <c r="A18" s="24" t="inlineStr">
        <is>
          <t>Sim — Ethan</t>
        </is>
      </c>
      <c r="B18" s="25">
        <f>SUMIFS('Master BOM'!$L$4:$L$114,'Master BOM'!$B$4:$B$114,$A18)</f>
        <v/>
      </c>
      <c r="C18" s="25">
        <f>SUMIFS('Master BOM'!$M$4:$M$114,'Master BOM'!$B$4:$B$114,$A18)</f>
        <v/>
      </c>
      <c r="D18" s="25">
        <f>SUMIFS('Master BOM'!$N$4:$N$114,'Master BOM'!$B$4:$B$114,$A18)</f>
        <v/>
      </c>
      <c r="E18" s="26">
        <f>COUNTIFS('Master BOM'!$B$4:$B$114,$A18)</f>
        <v/>
      </c>
    </row>
    <row r="19">
      <c r="A19" s="24" t="inlineStr">
        <is>
          <t>Web — Geet</t>
        </is>
      </c>
      <c r="B19" s="25">
        <f>SUMIFS('Master BOM'!$L$4:$L$114,'Master BOM'!$B$4:$B$114,$A19)</f>
        <v/>
      </c>
      <c r="C19" s="25">
        <f>SUMIFS('Master BOM'!$M$4:$M$114,'Master BOM'!$B$4:$B$114,$A19)</f>
        <v/>
      </c>
      <c r="D19" s="25">
        <f>SUMIFS('Master BOM'!$N$4:$N$114,'Master BOM'!$B$4:$B$114,$A19)</f>
        <v/>
      </c>
      <c r="E19" s="26">
        <f>COUNTIFS('Master BOM'!$B$4:$B$114,$A19)</f>
        <v/>
      </c>
    </row>
    <row r="20">
      <c r="A20" s="19" t="inlineStr">
        <is>
          <t>TOTAL (USD)</t>
        </is>
      </c>
      <c r="B20" s="20">
        <f>SUM(B10:B19)</f>
        <v/>
      </c>
      <c r="C20" s="20">
        <f>SUM(C10:C19)</f>
        <v/>
      </c>
      <c r="D20" s="20">
        <f>SUM(D10:D19)</f>
        <v/>
      </c>
      <c r="E20" s="28">
        <f>SUM(E10:E19)</f>
        <v/>
      </c>
    </row>
    <row r="21">
      <c r="A21" s="19" t="inlineStr">
        <is>
          <t>TOTAL LANDED (CAD, incl. duty/brokerage)</t>
        </is>
      </c>
      <c r="B21" s="20">
        <f>B20*$B$5*(1+$B$6)</f>
        <v/>
      </c>
      <c r="C21" s="20">
        <f>C20*$B$5*(1+$B$6)</f>
        <v/>
      </c>
      <c r="D21" s="20">
        <f>D20*$B$5*(1+$B$6)</f>
        <v/>
      </c>
    </row>
    <row r="22">
      <c r="A22" s="10" t="inlineStr">
        <is>
          <t>Cross-check vs Master BOM total</t>
        </is>
      </c>
      <c r="B22" s="29">
        <f>SUM('Master BOM'!$L$4:$L$114)</f>
        <v/>
      </c>
      <c r="C22" s="29">
        <f>SUM('Master BOM'!$M$4:$M$114)</f>
        <v/>
      </c>
      <c r="D22" s="29">
        <f>SUM('Master BOM'!$N$4:$N$114)</f>
        <v/>
      </c>
    </row>
    <row r="25">
      <c r="A25" s="8" t="inlineStr">
        <is>
          <t>SPEND BY CATEGORY (USD)</t>
        </is>
      </c>
    </row>
    <row r="26" ht="31.5" customHeight="1">
      <c r="A26" s="11" t="inlineStr">
        <is>
          <t>Category</t>
        </is>
      </c>
      <c r="B26" s="11" t="inlineStr">
        <is>
          <t>Tier 1 — Shoestring</t>
        </is>
      </c>
      <c r="C26" s="11" t="inlineStr">
        <is>
          <t>Tier 2 — Moderate</t>
        </is>
      </c>
      <c r="D26" s="11" t="inlineStr">
        <is>
          <t>Tier 3 — Well-funded</t>
        </is>
      </c>
      <c r="E26" s="11" t="inlineStr">
        <is>
          <t>Line items</t>
        </is>
      </c>
    </row>
    <row r="27">
      <c r="A27" s="24" t="inlineStr">
        <is>
          <t>Actuation / Mounting</t>
        </is>
      </c>
      <c r="B27" s="25">
        <f>SUMIFS('Master BOM'!$L$4:$L$114,'Master BOM'!$C$4:$C$114,$A27)</f>
        <v/>
      </c>
      <c r="C27" s="25">
        <f>SUMIFS('Master BOM'!$M$4:$M$114,'Master BOM'!$C$4:$C$114,$A27)</f>
        <v/>
      </c>
      <c r="D27" s="25">
        <f>SUMIFS('Master BOM'!$N$4:$N$114,'Master BOM'!$C$4:$C$114,$A27)</f>
        <v/>
      </c>
      <c r="E27" s="26">
        <f>COUNTIFS('Master BOM'!$C$4:$C$114,$A27)</f>
        <v/>
      </c>
    </row>
    <row r="28">
      <c r="A28" s="24" t="inlineStr">
        <is>
          <t>Actuation — Brake / EBS</t>
        </is>
      </c>
      <c r="B28" s="25">
        <f>SUMIFS('Master BOM'!$L$4:$L$114,'Master BOM'!$C$4:$C$114,$A28)</f>
        <v/>
      </c>
      <c r="C28" s="25">
        <f>SUMIFS('Master BOM'!$M$4:$M$114,'Master BOM'!$C$4:$C$114,$A28)</f>
        <v/>
      </c>
      <c r="D28" s="25">
        <f>SUMIFS('Master BOM'!$N$4:$N$114,'Master BOM'!$C$4:$C$114,$A28)</f>
        <v/>
      </c>
      <c r="E28" s="26">
        <f>COUNTIFS('Master BOM'!$C$4:$C$114,$A28)</f>
        <v/>
      </c>
    </row>
    <row r="29">
      <c r="A29" s="24" t="inlineStr">
        <is>
          <t>Actuation — Steering</t>
        </is>
      </c>
      <c r="B29" s="25">
        <f>SUMIFS('Master BOM'!$L$4:$L$114,'Master BOM'!$C$4:$C$114,$A29)</f>
        <v/>
      </c>
      <c r="C29" s="25">
        <f>SUMIFS('Master BOM'!$M$4:$M$114,'Master BOM'!$C$4:$C$114,$A29)</f>
        <v/>
      </c>
      <c r="D29" s="25">
        <f>SUMIFS('Master BOM'!$N$4:$N$114,'Master BOM'!$C$4:$C$114,$A29)</f>
        <v/>
      </c>
      <c r="E29" s="26">
        <f>COUNTIFS('Master BOM'!$C$4:$C$114,$A29)</f>
        <v/>
      </c>
    </row>
    <row r="30">
      <c r="A30" s="24" t="inlineStr">
        <is>
          <t>Compute</t>
        </is>
      </c>
      <c r="B30" s="25">
        <f>SUMIFS('Master BOM'!$L$4:$L$114,'Master BOM'!$C$4:$C$114,$A30)</f>
        <v/>
      </c>
      <c r="C30" s="25">
        <f>SUMIFS('Master BOM'!$M$4:$M$114,'Master BOM'!$C$4:$C$114,$A30)</f>
        <v/>
      </c>
      <c r="D30" s="25">
        <f>SUMIFS('Master BOM'!$N$4:$N$114,'Master BOM'!$C$4:$C$114,$A30)</f>
        <v/>
      </c>
      <c r="E30" s="26">
        <f>COUNTIFS('Master BOM'!$C$4:$C$114,$A30)</f>
        <v/>
      </c>
    </row>
    <row r="31">
      <c r="A31" s="24" t="inlineStr">
        <is>
          <t>Data / Storage</t>
        </is>
      </c>
      <c r="B31" s="25">
        <f>SUMIFS('Master BOM'!$L$4:$L$114,'Master BOM'!$C$4:$C$114,$A31)</f>
        <v/>
      </c>
      <c r="C31" s="25">
        <f>SUMIFS('Master BOM'!$M$4:$M$114,'Master BOM'!$C$4:$C$114,$A31)</f>
        <v/>
      </c>
      <c r="D31" s="25">
        <f>SUMIFS('Master BOM'!$N$4:$N$114,'Master BOM'!$C$4:$C$114,$A31)</f>
        <v/>
      </c>
      <c r="E31" s="26">
        <f>COUNTIFS('Master BOM'!$C$4:$C$114,$A31)</f>
        <v/>
      </c>
    </row>
    <row r="32">
      <c r="A32" s="24" t="inlineStr">
        <is>
          <t>Facilities / Admin</t>
        </is>
      </c>
      <c r="B32" s="25">
        <f>SUMIFS('Master BOM'!$L$4:$L$114,'Master BOM'!$C$4:$C$114,$A32)</f>
        <v/>
      </c>
      <c r="C32" s="25">
        <f>SUMIFS('Master BOM'!$M$4:$M$114,'Master BOM'!$C$4:$C$114,$A32)</f>
        <v/>
      </c>
      <c r="D32" s="25">
        <f>SUMIFS('Master BOM'!$N$4:$N$114,'Master BOM'!$C$4:$C$114,$A32)</f>
        <v/>
      </c>
      <c r="E32" s="26">
        <f>COUNTIFS('Master BOM'!$C$4:$C$114,$A32)</f>
        <v/>
      </c>
    </row>
    <row r="33">
      <c r="A33" s="24" t="inlineStr">
        <is>
          <t>Networking / Power</t>
        </is>
      </c>
      <c r="B33" s="25">
        <f>SUMIFS('Master BOM'!$L$4:$L$114,'Master BOM'!$C$4:$C$114,$A33)</f>
        <v/>
      </c>
      <c r="C33" s="25">
        <f>SUMIFS('Master BOM'!$M$4:$M$114,'Master BOM'!$C$4:$C$114,$A33)</f>
        <v/>
      </c>
      <c r="D33" s="25">
        <f>SUMIFS('Master BOM'!$N$4:$N$114,'Master BOM'!$C$4:$C$114,$A33)</f>
        <v/>
      </c>
      <c r="E33" s="26">
        <f>COUNTIFS('Master BOM'!$C$4:$C$114,$A33)</f>
        <v/>
      </c>
    </row>
    <row r="34">
      <c r="A34" s="24" t="inlineStr">
        <is>
          <t>Safety / Rules Hardware</t>
        </is>
      </c>
      <c r="B34" s="25">
        <f>SUMIFS('Master BOM'!$L$4:$L$114,'Master BOM'!$C$4:$C$114,$A34)</f>
        <v/>
      </c>
      <c r="C34" s="25">
        <f>SUMIFS('Master BOM'!$M$4:$M$114,'Master BOM'!$C$4:$C$114,$A34)</f>
        <v/>
      </c>
      <c r="D34" s="25">
        <f>SUMIFS('Master BOM'!$N$4:$N$114,'Master BOM'!$C$4:$C$114,$A34)</f>
        <v/>
      </c>
      <c r="E34" s="26">
        <f>COUNTIFS('Master BOM'!$C$4:$C$114,$A34)</f>
        <v/>
      </c>
    </row>
    <row r="35">
      <c r="A35" s="24" t="inlineStr">
        <is>
          <t>Safety Equipment</t>
        </is>
      </c>
      <c r="B35" s="25">
        <f>SUMIFS('Master BOM'!$L$4:$L$114,'Master BOM'!$C$4:$C$114,$A35)</f>
        <v/>
      </c>
      <c r="C35" s="25">
        <f>SUMIFS('Master BOM'!$M$4:$M$114,'Master BOM'!$C$4:$C$114,$A35)</f>
        <v/>
      </c>
      <c r="D35" s="25">
        <f>SUMIFS('Master BOM'!$N$4:$N$114,'Master BOM'!$C$4:$C$114,$A35)</f>
        <v/>
      </c>
      <c r="E35" s="26">
        <f>COUNTIFS('Master BOM'!$C$4:$C$114,$A35)</f>
        <v/>
      </c>
    </row>
    <row r="36">
      <c r="A36" s="24" t="inlineStr">
        <is>
          <t>Sensing — Camera</t>
        </is>
      </c>
      <c r="B36" s="25">
        <f>SUMIFS('Master BOM'!$L$4:$L$114,'Master BOM'!$C$4:$C$114,$A36)</f>
        <v/>
      </c>
      <c r="C36" s="25">
        <f>SUMIFS('Master BOM'!$M$4:$M$114,'Master BOM'!$C$4:$C$114,$A36)</f>
        <v/>
      </c>
      <c r="D36" s="25">
        <f>SUMIFS('Master BOM'!$N$4:$N$114,'Master BOM'!$C$4:$C$114,$A36)</f>
        <v/>
      </c>
      <c r="E36" s="26">
        <f>COUNTIFS('Master BOM'!$C$4:$C$114,$A36)</f>
        <v/>
      </c>
    </row>
    <row r="37">
      <c r="A37" s="24" t="inlineStr">
        <is>
          <t>Sensing — GNSS/INS</t>
        </is>
      </c>
      <c r="B37" s="25">
        <f>SUMIFS('Master BOM'!$L$4:$L$114,'Master BOM'!$C$4:$C$114,$A37)</f>
        <v/>
      </c>
      <c r="C37" s="25">
        <f>SUMIFS('Master BOM'!$M$4:$M$114,'Master BOM'!$C$4:$C$114,$A37)</f>
        <v/>
      </c>
      <c r="D37" s="25">
        <f>SUMIFS('Master BOM'!$N$4:$N$114,'Master BOM'!$C$4:$C$114,$A37)</f>
        <v/>
      </c>
      <c r="E37" s="26">
        <f>COUNTIFS('Master BOM'!$C$4:$C$114,$A37)</f>
        <v/>
      </c>
    </row>
    <row r="38">
      <c r="A38" s="24" t="inlineStr">
        <is>
          <t>Sensing — LiDAR</t>
        </is>
      </c>
      <c r="B38" s="25">
        <f>SUMIFS('Master BOM'!$L$4:$L$114,'Master BOM'!$C$4:$C$114,$A38)</f>
        <v/>
      </c>
      <c r="C38" s="25">
        <f>SUMIFS('Master BOM'!$M$4:$M$114,'Master BOM'!$C$4:$C$114,$A38)</f>
        <v/>
      </c>
      <c r="D38" s="25">
        <f>SUMIFS('Master BOM'!$N$4:$N$114,'Master BOM'!$C$4:$C$114,$A38)</f>
        <v/>
      </c>
      <c r="E38" s="26">
        <f>COUNTIFS('Master BOM'!$C$4:$C$114,$A38)</f>
        <v/>
      </c>
    </row>
    <row r="39">
      <c r="A39" s="24" t="inlineStr">
        <is>
          <t>Sensing — Other</t>
        </is>
      </c>
      <c r="B39" s="25">
        <f>SUMIFS('Master BOM'!$L$4:$L$114,'Master BOM'!$C$4:$C$114,$A39)</f>
        <v/>
      </c>
      <c r="C39" s="25">
        <f>SUMIFS('Master BOM'!$M$4:$M$114,'Master BOM'!$C$4:$C$114,$A39)</f>
        <v/>
      </c>
      <c r="D39" s="25">
        <f>SUMIFS('Master BOM'!$N$4:$N$114,'Master BOM'!$C$4:$C$114,$A39)</f>
        <v/>
      </c>
      <c r="E39" s="26">
        <f>COUNTIFS('Master BOM'!$C$4:$C$114,$A39)</f>
        <v/>
      </c>
    </row>
    <row r="40">
      <c r="A40" s="24" t="inlineStr">
        <is>
          <t>Simulation / HIL</t>
        </is>
      </c>
      <c r="B40" s="25">
        <f>SUMIFS('Master BOM'!$L$4:$L$114,'Master BOM'!$C$4:$C$114,$A40)</f>
        <v/>
      </c>
      <c r="C40" s="25">
        <f>SUMIFS('Master BOM'!$M$4:$M$114,'Master BOM'!$C$4:$C$114,$A40)</f>
        <v/>
      </c>
      <c r="D40" s="25">
        <f>SUMIFS('Master BOM'!$N$4:$N$114,'Master BOM'!$C$4:$C$114,$A40)</f>
        <v/>
      </c>
      <c r="E40" s="26">
        <f>COUNTIFS('Master BOM'!$C$4:$C$114,$A40)</f>
        <v/>
      </c>
    </row>
    <row r="41">
      <c r="A41" s="24" t="inlineStr">
        <is>
          <t>Software / License</t>
        </is>
      </c>
      <c r="B41" s="25">
        <f>SUMIFS('Master BOM'!$L$4:$L$114,'Master BOM'!$C$4:$C$114,$A41)</f>
        <v/>
      </c>
      <c r="C41" s="25">
        <f>SUMIFS('Master BOM'!$M$4:$M$114,'Master BOM'!$C$4:$C$114,$A41)</f>
        <v/>
      </c>
      <c r="D41" s="25">
        <f>SUMIFS('Master BOM'!$N$4:$N$114,'Master BOM'!$C$4:$C$114,$A41)</f>
        <v/>
      </c>
      <c r="E41" s="26">
        <f>COUNTIFS('Master BOM'!$C$4:$C$114,$A41)</f>
        <v/>
      </c>
    </row>
    <row r="42">
      <c r="A42" s="24" t="inlineStr">
        <is>
          <t>Test Equipment</t>
        </is>
      </c>
      <c r="B42" s="25">
        <f>SUMIFS('Master BOM'!$L$4:$L$114,'Master BOM'!$C$4:$C$114,$A42)</f>
        <v/>
      </c>
      <c r="C42" s="25">
        <f>SUMIFS('Master BOM'!$M$4:$M$114,'Master BOM'!$C$4:$C$114,$A42)</f>
        <v/>
      </c>
      <c r="D42" s="25">
        <f>SUMIFS('Master BOM'!$N$4:$N$114,'Master BOM'!$C$4:$C$114,$A42)</f>
        <v/>
      </c>
      <c r="E42" s="26">
        <f>COUNTIFS('Master BOM'!$C$4:$C$114,$A42)</f>
        <v/>
      </c>
    </row>
    <row r="43">
      <c r="A43" s="24" t="inlineStr">
        <is>
          <t>Test Platform (RC)</t>
        </is>
      </c>
      <c r="B43" s="25">
        <f>SUMIFS('Master BOM'!$L$4:$L$114,'Master BOM'!$C$4:$C$114,$A43)</f>
        <v/>
      </c>
      <c r="C43" s="25">
        <f>SUMIFS('Master BOM'!$M$4:$M$114,'Master BOM'!$C$4:$C$114,$A43)</f>
        <v/>
      </c>
      <c r="D43" s="25">
        <f>SUMIFS('Master BOM'!$N$4:$N$114,'Master BOM'!$C$4:$C$114,$A43)</f>
        <v/>
      </c>
      <c r="E43" s="26">
        <f>COUNTIFS('Master BOM'!$C$4:$C$114,$A43)</f>
        <v/>
      </c>
    </row>
    <row r="44">
      <c r="A44" s="24" t="inlineStr">
        <is>
          <t>Tooling / Bench</t>
        </is>
      </c>
      <c r="B44" s="25">
        <f>SUMIFS('Master BOM'!$L$4:$L$114,'Master BOM'!$C$4:$C$114,$A44)</f>
        <v/>
      </c>
      <c r="C44" s="25">
        <f>SUMIFS('Master BOM'!$M$4:$M$114,'Master BOM'!$C$4:$C$114,$A44)</f>
        <v/>
      </c>
      <c r="D44" s="25">
        <f>SUMIFS('Master BOM'!$N$4:$N$114,'Master BOM'!$C$4:$C$114,$A44)</f>
        <v/>
      </c>
      <c r="E44" s="26">
        <f>COUNTIFS('Master BOM'!$C$4:$C$114,$A44)</f>
        <v/>
      </c>
    </row>
    <row r="45">
      <c r="A45" s="24" t="inlineStr">
        <is>
          <t>Web / Comms</t>
        </is>
      </c>
      <c r="B45" s="25">
        <f>SUMIFS('Master BOM'!$L$4:$L$114,'Master BOM'!$C$4:$C$114,$A45)</f>
        <v/>
      </c>
      <c r="C45" s="25">
        <f>SUMIFS('Master BOM'!$M$4:$M$114,'Master BOM'!$C$4:$C$114,$A45)</f>
        <v/>
      </c>
      <c r="D45" s="25">
        <f>SUMIFS('Master BOM'!$N$4:$N$114,'Master BOM'!$C$4:$C$114,$A45)</f>
        <v/>
      </c>
      <c r="E45" s="26">
        <f>COUNTIFS('Master BOM'!$C$4:$C$114,$A45)</f>
        <v/>
      </c>
    </row>
    <row r="46">
      <c r="A46" s="19" t="inlineStr">
        <is>
          <t>TOTAL (USD)</t>
        </is>
      </c>
      <c r="B46" s="20">
        <f>SUM(B27:B45)</f>
        <v/>
      </c>
      <c r="C46" s="20">
        <f>SUM(C27:C45)</f>
        <v/>
      </c>
      <c r="D46" s="20">
        <f>SUM(D27:D45)</f>
        <v/>
      </c>
    </row>
    <row r="49">
      <c r="A49" s="8" t="inlineStr">
        <is>
          <t>RULES-CRITICAL SPEND ONLY (items marked Critical)</t>
        </is>
      </c>
    </row>
    <row r="50" ht="31.5" customHeight="1">
      <c r="A50" s="11" t="inlineStr">
        <is>
          <t>Priority</t>
        </is>
      </c>
      <c r="B50" s="11" t="inlineStr">
        <is>
          <t>Tier 1 — Shoestring</t>
        </is>
      </c>
      <c r="C50" s="11" t="inlineStr">
        <is>
          <t>Tier 2 — Moderate</t>
        </is>
      </c>
      <c r="D50" s="11" t="inlineStr">
        <is>
          <t>Tier 3 — Well-funded</t>
        </is>
      </c>
      <c r="E50" s="11" t="inlineStr">
        <is>
          <t>Line items</t>
        </is>
      </c>
    </row>
    <row r="51">
      <c r="A51" s="30" t="inlineStr">
        <is>
          <t>Critical</t>
        </is>
      </c>
      <c r="B51" s="25">
        <f>SUMIFS('Master BOM'!$L$4:$L$114,'Master BOM'!$O$4:$O$114,$A51)</f>
        <v/>
      </c>
      <c r="C51" s="25">
        <f>SUMIFS('Master BOM'!$M$4:$M$114,'Master BOM'!$O$4:$O$114,$A51)</f>
        <v/>
      </c>
      <c r="D51" s="25">
        <f>SUMIFS('Master BOM'!$N$4:$N$114,'Master BOM'!$O$4:$O$114,$A51)</f>
        <v/>
      </c>
      <c r="E51" s="26">
        <f>COUNTIFS('Master BOM'!$O$4:$O$114,$A51)</f>
        <v/>
      </c>
    </row>
    <row r="52">
      <c r="A52" s="24" t="inlineStr">
        <is>
          <t>High</t>
        </is>
      </c>
      <c r="B52" s="25">
        <f>SUMIFS('Master BOM'!$L$4:$L$114,'Master BOM'!$O$4:$O$114,$A52)</f>
        <v/>
      </c>
      <c r="C52" s="25">
        <f>SUMIFS('Master BOM'!$M$4:$M$114,'Master BOM'!$O$4:$O$114,$A52)</f>
        <v/>
      </c>
      <c r="D52" s="25">
        <f>SUMIFS('Master BOM'!$N$4:$N$114,'Master BOM'!$O$4:$O$114,$A52)</f>
        <v/>
      </c>
      <c r="E52" s="26">
        <f>COUNTIFS('Master BOM'!$O$4:$O$114,$A52)</f>
        <v/>
      </c>
    </row>
    <row r="53">
      <c r="A53" s="24" t="inlineStr">
        <is>
          <t>Medium</t>
        </is>
      </c>
      <c r="B53" s="25">
        <f>SUMIFS('Master BOM'!$L$4:$L$114,'Master BOM'!$O$4:$O$114,$A53)</f>
        <v/>
      </c>
      <c r="C53" s="25">
        <f>SUMIFS('Master BOM'!$M$4:$M$114,'Master BOM'!$O$4:$O$114,$A53)</f>
        <v/>
      </c>
      <c r="D53" s="25">
        <f>SUMIFS('Master BOM'!$N$4:$N$114,'Master BOM'!$O$4:$O$114,$A53)</f>
        <v/>
      </c>
      <c r="E53" s="26">
        <f>COUNTIFS('Master BOM'!$O$4:$O$114,$A53)</f>
        <v/>
      </c>
    </row>
    <row r="54">
      <c r="A54" s="24" t="inlineStr">
        <is>
          <t>Low</t>
        </is>
      </c>
      <c r="B54" s="25">
        <f>SUMIFS('Master BOM'!$L$4:$L$114,'Master BOM'!$O$4:$O$114,$A54)</f>
        <v/>
      </c>
      <c r="C54" s="25">
        <f>SUMIFS('Master BOM'!$M$4:$M$114,'Master BOM'!$O$4:$O$114,$A54)</f>
        <v/>
      </c>
      <c r="D54" s="25">
        <f>SUMIFS('Master BOM'!$N$4:$N$114,'Master BOM'!$O$4:$O$114,$A54)</f>
        <v/>
      </c>
      <c r="E54" s="26">
        <f>COUNTIFS('Master BOM'!$O$4:$O$114,$A54)</f>
        <v/>
      </c>
    </row>
    <row r="56">
      <c r="A56" s="10" t="inlineStr">
        <is>
          <t>If funding is tight, the 'Critical' row is the true floor — it is what you must buy to pass DV technical inspection and run a legal car. Everything else can slip a season.</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19"/>
  <sheetViews>
    <sheetView zoomScaleNormal="100" workbookViewId="0">
      <pane xSplit="2" ySplit="5" topLeftCell="C6" activePane="bottomRight" state="frozen"/>
      <selection pane="topRight" activeCell="C1" sqref="C1"/>
      <selection pane="bottomLeft" activeCell="A6" sqref="A6"/>
      <selection pane="bottomRight" activeCell="F6" sqref="F6"/>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DSO — Caleb</t>
        </is>
      </c>
    </row>
    <row r="2">
      <c r="A2" s="10" t="inlineStr">
        <is>
          <t>Responsibilities: Vehicle architecture, integration, safety &amp; rules compliance, DV document submission</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BOM'!A4</f>
        <v/>
      </c>
      <c r="B6" s="12">
        <f>'Master BOM'!C4</f>
        <v/>
      </c>
      <c r="C6" s="13">
        <f>'Master BOM'!D4</f>
        <v/>
      </c>
      <c r="D6" s="13">
        <f>'Master BOM'!E4</f>
        <v/>
      </c>
      <c r="E6" s="14">
        <f>'Master BOM'!F4</f>
        <v/>
      </c>
      <c r="F6" s="31">
        <f>'Master BOM'!G4</f>
        <v/>
      </c>
      <c r="G6" s="31">
        <f>'Master BOM'!L4</f>
        <v/>
      </c>
      <c r="H6" s="31">
        <f>'Master BOM'!M4</f>
        <v/>
      </c>
      <c r="I6" s="31">
        <f>'Master BOM'!N4</f>
        <v/>
      </c>
      <c r="J6" s="12">
        <f>'Master BOM'!O4</f>
        <v/>
      </c>
      <c r="K6" s="12">
        <f>'Master BOM'!P4</f>
        <v/>
      </c>
      <c r="L6" s="12">
        <f>'Master BOM'!Q4</f>
        <v/>
      </c>
      <c r="M6" s="12">
        <f>'Master BOM'!R4</f>
        <v/>
      </c>
      <c r="N6" s="13">
        <f>'Master BOM'!S4</f>
        <v/>
      </c>
    </row>
    <row r="7" ht="28" customHeight="1">
      <c r="A7" s="12">
        <f>'Master BOM'!A5</f>
        <v/>
      </c>
      <c r="B7" s="12">
        <f>'Master BOM'!C5</f>
        <v/>
      </c>
      <c r="C7" s="13">
        <f>'Master BOM'!D5</f>
        <v/>
      </c>
      <c r="D7" s="13">
        <f>'Master BOM'!E5</f>
        <v/>
      </c>
      <c r="E7" s="14">
        <f>'Master BOM'!F5</f>
        <v/>
      </c>
      <c r="F7" s="31">
        <f>'Master BOM'!G5</f>
        <v/>
      </c>
      <c r="G7" s="31">
        <f>'Master BOM'!L5</f>
        <v/>
      </c>
      <c r="H7" s="31">
        <f>'Master BOM'!M5</f>
        <v/>
      </c>
      <c r="I7" s="31">
        <f>'Master BOM'!N5</f>
        <v/>
      </c>
      <c r="J7" s="12">
        <f>'Master BOM'!O5</f>
        <v/>
      </c>
      <c r="K7" s="12">
        <f>'Master BOM'!P5</f>
        <v/>
      </c>
      <c r="L7" s="12">
        <f>'Master BOM'!Q5</f>
        <v/>
      </c>
      <c r="M7" s="12">
        <f>'Master BOM'!R5</f>
        <v/>
      </c>
      <c r="N7" s="13">
        <f>'Master BOM'!S5</f>
        <v/>
      </c>
    </row>
    <row r="8" ht="28" customHeight="1">
      <c r="A8" s="12">
        <f>'Master BOM'!A6</f>
        <v/>
      </c>
      <c r="B8" s="12">
        <f>'Master BOM'!C6</f>
        <v/>
      </c>
      <c r="C8" s="13">
        <f>'Master BOM'!D6</f>
        <v/>
      </c>
      <c r="D8" s="13">
        <f>'Master BOM'!E6</f>
        <v/>
      </c>
      <c r="E8" s="14">
        <f>'Master BOM'!F6</f>
        <v/>
      </c>
      <c r="F8" s="31">
        <f>'Master BOM'!G6</f>
        <v/>
      </c>
      <c r="G8" s="31">
        <f>'Master BOM'!L6</f>
        <v/>
      </c>
      <c r="H8" s="31">
        <f>'Master BOM'!M6</f>
        <v/>
      </c>
      <c r="I8" s="31">
        <f>'Master BOM'!N6</f>
        <v/>
      </c>
      <c r="J8" s="12">
        <f>'Master BOM'!O6</f>
        <v/>
      </c>
      <c r="K8" s="12">
        <f>'Master BOM'!P6</f>
        <v/>
      </c>
      <c r="L8" s="12">
        <f>'Master BOM'!Q6</f>
        <v/>
      </c>
      <c r="M8" s="12">
        <f>'Master BOM'!R6</f>
        <v/>
      </c>
      <c r="N8" s="13">
        <f>'Master BOM'!S6</f>
        <v/>
      </c>
    </row>
    <row r="9" ht="28" customHeight="1">
      <c r="A9" s="12">
        <f>'Master BOM'!A7</f>
        <v/>
      </c>
      <c r="B9" s="12">
        <f>'Master BOM'!C7</f>
        <v/>
      </c>
      <c r="C9" s="13">
        <f>'Master BOM'!D7</f>
        <v/>
      </c>
      <c r="D9" s="13">
        <f>'Master BOM'!E7</f>
        <v/>
      </c>
      <c r="E9" s="14">
        <f>'Master BOM'!F7</f>
        <v/>
      </c>
      <c r="F9" s="31">
        <f>'Master BOM'!G7</f>
        <v/>
      </c>
      <c r="G9" s="31">
        <f>'Master BOM'!L7</f>
        <v/>
      </c>
      <c r="H9" s="31">
        <f>'Master BOM'!M7</f>
        <v/>
      </c>
      <c r="I9" s="31">
        <f>'Master BOM'!N7</f>
        <v/>
      </c>
      <c r="J9" s="12">
        <f>'Master BOM'!O7</f>
        <v/>
      </c>
      <c r="K9" s="12">
        <f>'Master BOM'!P7</f>
        <v/>
      </c>
      <c r="L9" s="12">
        <f>'Master BOM'!Q7</f>
        <v/>
      </c>
      <c r="M9" s="12">
        <f>'Master BOM'!R7</f>
        <v/>
      </c>
      <c r="N9" s="13">
        <f>'Master BOM'!S7</f>
        <v/>
      </c>
    </row>
    <row r="10" ht="28" customHeight="1">
      <c r="A10" s="12">
        <f>'Master BOM'!A8</f>
        <v/>
      </c>
      <c r="B10" s="12">
        <f>'Master BOM'!C8</f>
        <v/>
      </c>
      <c r="C10" s="13">
        <f>'Master BOM'!D8</f>
        <v/>
      </c>
      <c r="D10" s="13">
        <f>'Master BOM'!E8</f>
        <v/>
      </c>
      <c r="E10" s="14">
        <f>'Master BOM'!F8</f>
        <v/>
      </c>
      <c r="F10" s="31">
        <f>'Master BOM'!G8</f>
        <v/>
      </c>
      <c r="G10" s="31">
        <f>'Master BOM'!L8</f>
        <v/>
      </c>
      <c r="H10" s="31">
        <f>'Master BOM'!M8</f>
        <v/>
      </c>
      <c r="I10" s="31">
        <f>'Master BOM'!N8</f>
        <v/>
      </c>
      <c r="J10" s="12">
        <f>'Master BOM'!O8</f>
        <v/>
      </c>
      <c r="K10" s="12">
        <f>'Master BOM'!P8</f>
        <v/>
      </c>
      <c r="L10" s="12">
        <f>'Master BOM'!Q8</f>
        <v/>
      </c>
      <c r="M10" s="12">
        <f>'Master BOM'!R8</f>
        <v/>
      </c>
      <c r="N10" s="13">
        <f>'Master BOM'!S8</f>
        <v/>
      </c>
    </row>
    <row r="11" ht="28" customHeight="1">
      <c r="A11" s="12">
        <f>'Master BOM'!A9</f>
        <v/>
      </c>
      <c r="B11" s="12">
        <f>'Master BOM'!C9</f>
        <v/>
      </c>
      <c r="C11" s="13">
        <f>'Master BOM'!D9</f>
        <v/>
      </c>
      <c r="D11" s="13">
        <f>'Master BOM'!E9</f>
        <v/>
      </c>
      <c r="E11" s="14">
        <f>'Master BOM'!F9</f>
        <v/>
      </c>
      <c r="F11" s="31">
        <f>'Master BOM'!G9</f>
        <v/>
      </c>
      <c r="G11" s="31">
        <f>'Master BOM'!L9</f>
        <v/>
      </c>
      <c r="H11" s="31">
        <f>'Master BOM'!M9</f>
        <v/>
      </c>
      <c r="I11" s="31">
        <f>'Master BOM'!N9</f>
        <v/>
      </c>
      <c r="J11" s="12">
        <f>'Master BOM'!O9</f>
        <v/>
      </c>
      <c r="K11" s="12">
        <f>'Master BOM'!P9</f>
        <v/>
      </c>
      <c r="L11" s="12">
        <f>'Master BOM'!Q9</f>
        <v/>
      </c>
      <c r="M11" s="12">
        <f>'Master BOM'!R9</f>
        <v/>
      </c>
      <c r="N11" s="13">
        <f>'Master BOM'!S9</f>
        <v/>
      </c>
    </row>
    <row r="12" ht="28" customHeight="1">
      <c r="A12" s="12">
        <f>'Master BOM'!A10</f>
        <v/>
      </c>
      <c r="B12" s="12">
        <f>'Master BOM'!C10</f>
        <v/>
      </c>
      <c r="C12" s="13">
        <f>'Master BOM'!D10</f>
        <v/>
      </c>
      <c r="D12" s="13">
        <f>'Master BOM'!E10</f>
        <v/>
      </c>
      <c r="E12" s="14">
        <f>'Master BOM'!F10</f>
        <v/>
      </c>
      <c r="F12" s="31">
        <f>'Master BOM'!G10</f>
        <v/>
      </c>
      <c r="G12" s="31">
        <f>'Master BOM'!L10</f>
        <v/>
      </c>
      <c r="H12" s="31">
        <f>'Master BOM'!M10</f>
        <v/>
      </c>
      <c r="I12" s="31">
        <f>'Master BOM'!N10</f>
        <v/>
      </c>
      <c r="J12" s="12">
        <f>'Master BOM'!O10</f>
        <v/>
      </c>
      <c r="K12" s="12">
        <f>'Master BOM'!P10</f>
        <v/>
      </c>
      <c r="L12" s="12">
        <f>'Master BOM'!Q10</f>
        <v/>
      </c>
      <c r="M12" s="12">
        <f>'Master BOM'!R10</f>
        <v/>
      </c>
      <c r="N12" s="13">
        <f>'Master BOM'!S10</f>
        <v/>
      </c>
    </row>
    <row r="13" ht="28" customHeight="1">
      <c r="A13" s="12">
        <f>'Master BOM'!A11</f>
        <v/>
      </c>
      <c r="B13" s="12">
        <f>'Master BOM'!C11</f>
        <v/>
      </c>
      <c r="C13" s="13">
        <f>'Master BOM'!D11</f>
        <v/>
      </c>
      <c r="D13" s="13">
        <f>'Master BOM'!E11</f>
        <v/>
      </c>
      <c r="E13" s="14">
        <f>'Master BOM'!F11</f>
        <v/>
      </c>
      <c r="F13" s="31">
        <f>'Master BOM'!G11</f>
        <v/>
      </c>
      <c r="G13" s="31">
        <f>'Master BOM'!L11</f>
        <v/>
      </c>
      <c r="H13" s="31">
        <f>'Master BOM'!M11</f>
        <v/>
      </c>
      <c r="I13" s="31">
        <f>'Master BOM'!N11</f>
        <v/>
      </c>
      <c r="J13" s="12">
        <f>'Master BOM'!O11</f>
        <v/>
      </c>
      <c r="K13" s="12">
        <f>'Master BOM'!P11</f>
        <v/>
      </c>
      <c r="L13" s="12">
        <f>'Master BOM'!Q11</f>
        <v/>
      </c>
      <c r="M13" s="12">
        <f>'Master BOM'!R11</f>
        <v/>
      </c>
      <c r="N13" s="13">
        <f>'Master BOM'!S11</f>
        <v/>
      </c>
    </row>
    <row r="14" ht="28" customHeight="1">
      <c r="A14" s="12">
        <f>'Master BOM'!A12</f>
        <v/>
      </c>
      <c r="B14" s="12">
        <f>'Master BOM'!C12</f>
        <v/>
      </c>
      <c r="C14" s="13">
        <f>'Master BOM'!D12</f>
        <v/>
      </c>
      <c r="D14" s="13">
        <f>'Master BOM'!E12</f>
        <v/>
      </c>
      <c r="E14" s="14">
        <f>'Master BOM'!F12</f>
        <v/>
      </c>
      <c r="F14" s="31">
        <f>'Master BOM'!G12</f>
        <v/>
      </c>
      <c r="G14" s="31">
        <f>'Master BOM'!L12</f>
        <v/>
      </c>
      <c r="H14" s="31">
        <f>'Master BOM'!M12</f>
        <v/>
      </c>
      <c r="I14" s="31">
        <f>'Master BOM'!N12</f>
        <v/>
      </c>
      <c r="J14" s="12">
        <f>'Master BOM'!O12</f>
        <v/>
      </c>
      <c r="K14" s="12">
        <f>'Master BOM'!P12</f>
        <v/>
      </c>
      <c r="L14" s="12">
        <f>'Master BOM'!Q12</f>
        <v/>
      </c>
      <c r="M14" s="12">
        <f>'Master BOM'!R12</f>
        <v/>
      </c>
      <c r="N14" s="13">
        <f>'Master BOM'!S12</f>
        <v/>
      </c>
    </row>
    <row r="15" ht="28" customHeight="1">
      <c r="A15" s="12">
        <f>'Master BOM'!A13</f>
        <v/>
      </c>
      <c r="B15" s="12">
        <f>'Master BOM'!C13</f>
        <v/>
      </c>
      <c r="C15" s="13">
        <f>'Master BOM'!D13</f>
        <v/>
      </c>
      <c r="D15" s="13">
        <f>'Master BOM'!E13</f>
        <v/>
      </c>
      <c r="E15" s="14">
        <f>'Master BOM'!F13</f>
        <v/>
      </c>
      <c r="F15" s="31">
        <f>'Master BOM'!G13</f>
        <v/>
      </c>
      <c r="G15" s="31">
        <f>'Master BOM'!L13</f>
        <v/>
      </c>
      <c r="H15" s="31">
        <f>'Master BOM'!M13</f>
        <v/>
      </c>
      <c r="I15" s="31">
        <f>'Master BOM'!N13</f>
        <v/>
      </c>
      <c r="J15" s="12">
        <f>'Master BOM'!O13</f>
        <v/>
      </c>
      <c r="K15" s="12">
        <f>'Master BOM'!P13</f>
        <v/>
      </c>
      <c r="L15" s="12">
        <f>'Master BOM'!Q13</f>
        <v/>
      </c>
      <c r="M15" s="12">
        <f>'Master BOM'!R13</f>
        <v/>
      </c>
      <c r="N15" s="13">
        <f>'Master BOM'!S13</f>
        <v/>
      </c>
    </row>
    <row r="17">
      <c r="C17" s="19" t="inlineStr">
        <is>
          <t>ROLE TOTAL</t>
        </is>
      </c>
      <c r="G17" s="20">
        <f>SUM(G6:G15)</f>
        <v/>
      </c>
      <c r="H17" s="20">
        <f>SUM(H6:H15)</f>
        <v/>
      </c>
      <c r="I17" s="20">
        <f>SUM(I6:I15)</f>
        <v/>
      </c>
    </row>
    <row r="19">
      <c r="C19"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13"/>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Team-Wide — Everyone</t>
        </is>
      </c>
    </row>
    <row r="2">
      <c r="A2" s="10" t="inlineStr">
        <is>
          <t>Responsibilities: Competition strategy, team constraints, design goals, safety concepts, version control</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BOM'!A14</f>
        <v/>
      </c>
      <c r="B6" s="12">
        <f>'Master BOM'!C14</f>
        <v/>
      </c>
      <c r="C6" s="13">
        <f>'Master BOM'!D14</f>
        <v/>
      </c>
      <c r="D6" s="13">
        <f>'Master BOM'!E14</f>
        <v/>
      </c>
      <c r="E6" s="14">
        <f>'Master BOM'!F14</f>
        <v/>
      </c>
      <c r="F6" s="31">
        <f>'Master BOM'!G14</f>
        <v/>
      </c>
      <c r="G6" s="31">
        <f>'Master BOM'!L14</f>
        <v/>
      </c>
      <c r="H6" s="31">
        <f>'Master BOM'!M14</f>
        <v/>
      </c>
      <c r="I6" s="31">
        <f>'Master BOM'!N14</f>
        <v/>
      </c>
      <c r="J6" s="12">
        <f>'Master BOM'!O14</f>
        <v/>
      </c>
      <c r="K6" s="12">
        <f>'Master BOM'!P14</f>
        <v/>
      </c>
      <c r="L6" s="12">
        <f>'Master BOM'!Q14</f>
        <v/>
      </c>
      <c r="M6" s="12">
        <f>'Master BOM'!R14</f>
        <v/>
      </c>
      <c r="N6" s="13">
        <f>'Master BOM'!S14</f>
        <v/>
      </c>
    </row>
    <row r="7" ht="28" customHeight="1">
      <c r="A7" s="12">
        <f>'Master BOM'!A15</f>
        <v/>
      </c>
      <c r="B7" s="12">
        <f>'Master BOM'!C15</f>
        <v/>
      </c>
      <c r="C7" s="13">
        <f>'Master BOM'!D15</f>
        <v/>
      </c>
      <c r="D7" s="13">
        <f>'Master BOM'!E15</f>
        <v/>
      </c>
      <c r="E7" s="14">
        <f>'Master BOM'!F15</f>
        <v/>
      </c>
      <c r="F7" s="31">
        <f>'Master BOM'!G15</f>
        <v/>
      </c>
      <c r="G7" s="31">
        <f>'Master BOM'!L15</f>
        <v/>
      </c>
      <c r="H7" s="31">
        <f>'Master BOM'!M15</f>
        <v/>
      </c>
      <c r="I7" s="31">
        <f>'Master BOM'!N15</f>
        <v/>
      </c>
      <c r="J7" s="12">
        <f>'Master BOM'!O15</f>
        <v/>
      </c>
      <c r="K7" s="12">
        <f>'Master BOM'!P15</f>
        <v/>
      </c>
      <c r="L7" s="12">
        <f>'Master BOM'!Q15</f>
        <v/>
      </c>
      <c r="M7" s="12">
        <f>'Master BOM'!R15</f>
        <v/>
      </c>
      <c r="N7" s="13">
        <f>'Master BOM'!S15</f>
        <v/>
      </c>
    </row>
    <row r="8" ht="28" customHeight="1">
      <c r="A8" s="12">
        <f>'Master BOM'!A16</f>
        <v/>
      </c>
      <c r="B8" s="12">
        <f>'Master BOM'!C16</f>
        <v/>
      </c>
      <c r="C8" s="13">
        <f>'Master BOM'!D16</f>
        <v/>
      </c>
      <c r="D8" s="13">
        <f>'Master BOM'!E16</f>
        <v/>
      </c>
      <c r="E8" s="14">
        <f>'Master BOM'!F16</f>
        <v/>
      </c>
      <c r="F8" s="31">
        <f>'Master BOM'!G16</f>
        <v/>
      </c>
      <c r="G8" s="31">
        <f>'Master BOM'!L16</f>
        <v/>
      </c>
      <c r="H8" s="31">
        <f>'Master BOM'!M16</f>
        <v/>
      </c>
      <c r="I8" s="31">
        <f>'Master BOM'!N16</f>
        <v/>
      </c>
      <c r="J8" s="12">
        <f>'Master BOM'!O16</f>
        <v/>
      </c>
      <c r="K8" s="12">
        <f>'Master BOM'!P16</f>
        <v/>
      </c>
      <c r="L8" s="12">
        <f>'Master BOM'!Q16</f>
        <v/>
      </c>
      <c r="M8" s="12">
        <f>'Master BOM'!R16</f>
        <v/>
      </c>
      <c r="N8" s="13">
        <f>'Master BOM'!S16</f>
        <v/>
      </c>
    </row>
    <row r="9" ht="28" customHeight="1">
      <c r="A9" s="12">
        <f>'Master BOM'!A17</f>
        <v/>
      </c>
      <c r="B9" s="12">
        <f>'Master BOM'!C17</f>
        <v/>
      </c>
      <c r="C9" s="13">
        <f>'Master BOM'!D17</f>
        <v/>
      </c>
      <c r="D9" s="13">
        <f>'Master BOM'!E17</f>
        <v/>
      </c>
      <c r="E9" s="14">
        <f>'Master BOM'!F17</f>
        <v/>
      </c>
      <c r="F9" s="31">
        <f>'Master BOM'!G17</f>
        <v/>
      </c>
      <c r="G9" s="31">
        <f>'Master BOM'!L17</f>
        <v/>
      </c>
      <c r="H9" s="31">
        <f>'Master BOM'!M17</f>
        <v/>
      </c>
      <c r="I9" s="31">
        <f>'Master BOM'!N17</f>
        <v/>
      </c>
      <c r="J9" s="12">
        <f>'Master BOM'!O17</f>
        <v/>
      </c>
      <c r="K9" s="12">
        <f>'Master BOM'!P17</f>
        <v/>
      </c>
      <c r="L9" s="12">
        <f>'Master BOM'!Q17</f>
        <v/>
      </c>
      <c r="M9" s="12">
        <f>'Master BOM'!R17</f>
        <v/>
      </c>
      <c r="N9" s="13">
        <f>'Master BOM'!S17</f>
        <v/>
      </c>
    </row>
    <row r="11">
      <c r="C11" s="19" t="inlineStr">
        <is>
          <t>ROLE TOTAL</t>
        </is>
      </c>
      <c r="G11" s="20">
        <f>SUM(G6:G9)</f>
        <v/>
      </c>
      <c r="H11" s="20">
        <f>SUM(H6:H9)</f>
        <v/>
      </c>
      <c r="I11" s="20">
        <f>SUM(I6:I9)</f>
        <v/>
      </c>
    </row>
    <row r="13">
      <c r="C13"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24"/>
  <sheetViews>
    <sheetView zoomScaleNormal="100" workbookViewId="0">
      <pane xSplit="2" ySplit="5" topLeftCell="C6" activePane="bottomRight" state="frozen"/>
      <selection pane="topRight" activeCell="C1" sqref="C1"/>
      <selection pane="bottomLeft" activeCell="A6" sqref="A6"/>
      <selection pane="bottomRight" activeCell="I20" sqref="I20"/>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Perception — Amanuel + Irvine + Caleb</t>
        </is>
      </c>
    </row>
    <row r="2">
      <c r="A2" s="10" t="inlineStr">
        <is>
          <t>Responsibilities: Sensor placement/coverage, cone detection, low-level &amp; object-level fusion, pipeline latency, GT validation</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BOM'!A18</f>
        <v/>
      </c>
      <c r="B6" s="12">
        <f>'Master BOM'!C18</f>
        <v/>
      </c>
      <c r="C6" s="13">
        <f>'Master BOM'!D18</f>
        <v/>
      </c>
      <c r="D6" s="13">
        <f>'Master BOM'!E18</f>
        <v/>
      </c>
      <c r="E6" s="14">
        <f>'Master BOM'!F18</f>
        <v/>
      </c>
      <c r="F6" s="31">
        <f>'Master BOM'!G18</f>
        <v/>
      </c>
      <c r="G6" s="31">
        <f>'Master BOM'!L18</f>
        <v/>
      </c>
      <c r="H6" s="31">
        <f>'Master BOM'!M18</f>
        <v/>
      </c>
      <c r="I6" s="31">
        <f>'Master BOM'!N18</f>
        <v/>
      </c>
      <c r="J6" s="12">
        <f>'Master BOM'!O18</f>
        <v/>
      </c>
      <c r="K6" s="12">
        <f>'Master BOM'!P18</f>
        <v/>
      </c>
      <c r="L6" s="12">
        <f>'Master BOM'!Q18</f>
        <v/>
      </c>
      <c r="M6" s="12">
        <f>'Master BOM'!R18</f>
        <v/>
      </c>
      <c r="N6" s="13">
        <f>'Master BOM'!S18</f>
        <v/>
      </c>
    </row>
    <row r="7" ht="28" customHeight="1">
      <c r="A7" s="12">
        <f>'Master BOM'!A19</f>
        <v/>
      </c>
      <c r="B7" s="12">
        <f>'Master BOM'!C19</f>
        <v/>
      </c>
      <c r="C7" s="13">
        <f>'Master BOM'!D19</f>
        <v/>
      </c>
      <c r="D7" s="13">
        <f>'Master BOM'!E19</f>
        <v/>
      </c>
      <c r="E7" s="14">
        <f>'Master BOM'!F19</f>
        <v/>
      </c>
      <c r="F7" s="31">
        <f>'Master BOM'!G19</f>
        <v/>
      </c>
      <c r="G7" s="31">
        <f>'Master BOM'!L19</f>
        <v/>
      </c>
      <c r="H7" s="31">
        <f>'Master BOM'!M19</f>
        <v/>
      </c>
      <c r="I7" s="31">
        <f>'Master BOM'!N19</f>
        <v/>
      </c>
      <c r="J7" s="12">
        <f>'Master BOM'!O19</f>
        <v/>
      </c>
      <c r="K7" s="12">
        <f>'Master BOM'!P19</f>
        <v/>
      </c>
      <c r="L7" s="12">
        <f>'Master BOM'!Q19</f>
        <v/>
      </c>
      <c r="M7" s="12">
        <f>'Master BOM'!R19</f>
        <v/>
      </c>
      <c r="N7" s="13">
        <f>'Master BOM'!S19</f>
        <v/>
      </c>
    </row>
    <row r="8" ht="28" customHeight="1">
      <c r="A8" s="12">
        <f>'Master BOM'!A20</f>
        <v/>
      </c>
      <c r="B8" s="12">
        <f>'Master BOM'!C20</f>
        <v/>
      </c>
      <c r="C8" s="13">
        <f>'Master BOM'!D20</f>
        <v/>
      </c>
      <c r="D8" s="13">
        <f>'Master BOM'!E20</f>
        <v/>
      </c>
      <c r="E8" s="14">
        <f>'Master BOM'!F20</f>
        <v/>
      </c>
      <c r="F8" s="31">
        <f>'Master BOM'!G20</f>
        <v/>
      </c>
      <c r="G8" s="31">
        <f>'Master BOM'!L20</f>
        <v/>
      </c>
      <c r="H8" s="31">
        <f>'Master BOM'!M20</f>
        <v/>
      </c>
      <c r="I8" s="31">
        <f>'Master BOM'!N20</f>
        <v/>
      </c>
      <c r="J8" s="12">
        <f>'Master BOM'!O20</f>
        <v/>
      </c>
      <c r="K8" s="12">
        <f>'Master BOM'!P20</f>
        <v/>
      </c>
      <c r="L8" s="12">
        <f>'Master BOM'!Q20</f>
        <v/>
      </c>
      <c r="M8" s="12">
        <f>'Master BOM'!R20</f>
        <v/>
      </c>
      <c r="N8" s="13">
        <f>'Master BOM'!S20</f>
        <v/>
      </c>
    </row>
    <row r="9" ht="28" customHeight="1">
      <c r="A9" s="12">
        <f>'Master BOM'!A21</f>
        <v/>
      </c>
      <c r="B9" s="12">
        <f>'Master BOM'!C21</f>
        <v/>
      </c>
      <c r="C9" s="13">
        <f>'Master BOM'!D21</f>
        <v/>
      </c>
      <c r="D9" s="13">
        <f>'Master BOM'!E21</f>
        <v/>
      </c>
      <c r="E9" s="14">
        <f>'Master BOM'!F21</f>
        <v/>
      </c>
      <c r="F9" s="31">
        <f>'Master BOM'!G21</f>
        <v/>
      </c>
      <c r="G9" s="31">
        <f>'Master BOM'!L21</f>
        <v/>
      </c>
      <c r="H9" s="31">
        <f>'Master BOM'!M21</f>
        <v/>
      </c>
      <c r="I9" s="31">
        <f>'Master BOM'!N21</f>
        <v/>
      </c>
      <c r="J9" s="12">
        <f>'Master BOM'!O21</f>
        <v/>
      </c>
      <c r="K9" s="12">
        <f>'Master BOM'!P21</f>
        <v/>
      </c>
      <c r="L9" s="12">
        <f>'Master BOM'!Q21</f>
        <v/>
      </c>
      <c r="M9" s="12">
        <f>'Master BOM'!R21</f>
        <v/>
      </c>
      <c r="N9" s="13">
        <f>'Master BOM'!S21</f>
        <v/>
      </c>
    </row>
    <row r="10" ht="28" customHeight="1">
      <c r="A10" s="12">
        <f>'Master BOM'!A22</f>
        <v/>
      </c>
      <c r="B10" s="12">
        <f>'Master BOM'!C22</f>
        <v/>
      </c>
      <c r="C10" s="13">
        <f>'Master BOM'!D22</f>
        <v/>
      </c>
      <c r="D10" s="13">
        <f>'Master BOM'!E22</f>
        <v/>
      </c>
      <c r="E10" s="14">
        <f>'Master BOM'!F22</f>
        <v/>
      </c>
      <c r="F10" s="31">
        <f>'Master BOM'!G22</f>
        <v/>
      </c>
      <c r="G10" s="31">
        <f>'Master BOM'!L22</f>
        <v/>
      </c>
      <c r="H10" s="31">
        <f>'Master BOM'!M22</f>
        <v/>
      </c>
      <c r="I10" s="31">
        <f>'Master BOM'!N22</f>
        <v/>
      </c>
      <c r="J10" s="12">
        <f>'Master BOM'!O22</f>
        <v/>
      </c>
      <c r="K10" s="12">
        <f>'Master BOM'!P22</f>
        <v/>
      </c>
      <c r="L10" s="12">
        <f>'Master BOM'!Q22</f>
        <v/>
      </c>
      <c r="M10" s="12">
        <f>'Master BOM'!R22</f>
        <v/>
      </c>
      <c r="N10" s="13">
        <f>'Master BOM'!S22</f>
        <v/>
      </c>
    </row>
    <row r="11" ht="28" customHeight="1">
      <c r="A11" s="12">
        <f>'Master BOM'!A23</f>
        <v/>
      </c>
      <c r="B11" s="12">
        <f>'Master BOM'!C23</f>
        <v/>
      </c>
      <c r="C11" s="13">
        <f>'Master BOM'!D23</f>
        <v/>
      </c>
      <c r="D11" s="13">
        <f>'Master BOM'!E23</f>
        <v/>
      </c>
      <c r="E11" s="14">
        <f>'Master BOM'!F23</f>
        <v/>
      </c>
      <c r="F11" s="31">
        <f>'Master BOM'!G23</f>
        <v/>
      </c>
      <c r="G11" s="31">
        <f>'Master BOM'!L23</f>
        <v/>
      </c>
      <c r="H11" s="31">
        <f>'Master BOM'!M23</f>
        <v/>
      </c>
      <c r="I11" s="31">
        <f>'Master BOM'!N23</f>
        <v/>
      </c>
      <c r="J11" s="12">
        <f>'Master BOM'!O23</f>
        <v/>
      </c>
      <c r="K11" s="12">
        <f>'Master BOM'!P23</f>
        <v/>
      </c>
      <c r="L11" s="12">
        <f>'Master BOM'!Q23</f>
        <v/>
      </c>
      <c r="M11" s="12">
        <f>'Master BOM'!R23</f>
        <v/>
      </c>
      <c r="N11" s="13">
        <f>'Master BOM'!S23</f>
        <v/>
      </c>
    </row>
    <row r="12" ht="28" customHeight="1">
      <c r="A12" s="12">
        <f>'Master BOM'!A24</f>
        <v/>
      </c>
      <c r="B12" s="12">
        <f>'Master BOM'!C24</f>
        <v/>
      </c>
      <c r="C12" s="13">
        <f>'Master BOM'!D24</f>
        <v/>
      </c>
      <c r="D12" s="13">
        <f>'Master BOM'!E24</f>
        <v/>
      </c>
      <c r="E12" s="14">
        <f>'Master BOM'!F24</f>
        <v/>
      </c>
      <c r="F12" s="31">
        <f>'Master BOM'!G24</f>
        <v/>
      </c>
      <c r="G12" s="31">
        <f>'Master BOM'!L24</f>
        <v/>
      </c>
      <c r="H12" s="31">
        <f>'Master BOM'!M24</f>
        <v/>
      </c>
      <c r="I12" s="31">
        <f>'Master BOM'!N24</f>
        <v/>
      </c>
      <c r="J12" s="12">
        <f>'Master BOM'!O24</f>
        <v/>
      </c>
      <c r="K12" s="12">
        <f>'Master BOM'!P24</f>
        <v/>
      </c>
      <c r="L12" s="12">
        <f>'Master BOM'!Q24</f>
        <v/>
      </c>
      <c r="M12" s="12">
        <f>'Master BOM'!R24</f>
        <v/>
      </c>
      <c r="N12" s="13">
        <f>'Master BOM'!S24</f>
        <v/>
      </c>
    </row>
    <row r="13" ht="28" customHeight="1">
      <c r="A13" s="12">
        <f>'Master BOM'!A25</f>
        <v/>
      </c>
      <c r="B13" s="12">
        <f>'Master BOM'!C25</f>
        <v/>
      </c>
      <c r="C13" s="13">
        <f>'Master BOM'!D25</f>
        <v/>
      </c>
      <c r="D13" s="13">
        <f>'Master BOM'!E25</f>
        <v/>
      </c>
      <c r="E13" s="14">
        <f>'Master BOM'!F25</f>
        <v/>
      </c>
      <c r="F13" s="31">
        <f>'Master BOM'!G25</f>
        <v/>
      </c>
      <c r="G13" s="31">
        <f>'Master BOM'!L25</f>
        <v/>
      </c>
      <c r="H13" s="31">
        <f>'Master BOM'!M25</f>
        <v/>
      </c>
      <c r="I13" s="31">
        <f>'Master BOM'!N25</f>
        <v/>
      </c>
      <c r="J13" s="12">
        <f>'Master BOM'!O25</f>
        <v/>
      </c>
      <c r="K13" s="12">
        <f>'Master BOM'!P25</f>
        <v/>
      </c>
      <c r="L13" s="12">
        <f>'Master BOM'!Q25</f>
        <v/>
      </c>
      <c r="M13" s="12">
        <f>'Master BOM'!R25</f>
        <v/>
      </c>
      <c r="N13" s="13">
        <f>'Master BOM'!S25</f>
        <v/>
      </c>
    </row>
    <row r="14" ht="28" customHeight="1">
      <c r="A14" s="12">
        <f>'Master BOM'!A26</f>
        <v/>
      </c>
      <c r="B14" s="12">
        <f>'Master BOM'!C26</f>
        <v/>
      </c>
      <c r="C14" s="13">
        <f>'Master BOM'!D26</f>
        <v/>
      </c>
      <c r="D14" s="13">
        <f>'Master BOM'!E26</f>
        <v/>
      </c>
      <c r="E14" s="14">
        <f>'Master BOM'!F26</f>
        <v/>
      </c>
      <c r="F14" s="31">
        <f>'Master BOM'!G26</f>
        <v/>
      </c>
      <c r="G14" s="31">
        <f>'Master BOM'!L26</f>
        <v/>
      </c>
      <c r="H14" s="31">
        <f>'Master BOM'!M26</f>
        <v/>
      </c>
      <c r="I14" s="31">
        <f>'Master BOM'!N26</f>
        <v/>
      </c>
      <c r="J14" s="12">
        <f>'Master BOM'!O26</f>
        <v/>
      </c>
      <c r="K14" s="12">
        <f>'Master BOM'!P26</f>
        <v/>
      </c>
      <c r="L14" s="12">
        <f>'Master BOM'!Q26</f>
        <v/>
      </c>
      <c r="M14" s="12">
        <f>'Master BOM'!R26</f>
        <v/>
      </c>
      <c r="N14" s="13">
        <f>'Master BOM'!S26</f>
        <v/>
      </c>
    </row>
    <row r="15" ht="28" customHeight="1">
      <c r="A15" s="12">
        <f>'Master BOM'!A27</f>
        <v/>
      </c>
      <c r="B15" s="12">
        <f>'Master BOM'!C27</f>
        <v/>
      </c>
      <c r="C15" s="13">
        <f>'Master BOM'!D27</f>
        <v/>
      </c>
      <c r="D15" s="13">
        <f>'Master BOM'!E27</f>
        <v/>
      </c>
      <c r="E15" s="14">
        <f>'Master BOM'!F27</f>
        <v/>
      </c>
      <c r="F15" s="31">
        <f>'Master BOM'!G27</f>
        <v/>
      </c>
      <c r="G15" s="31">
        <f>'Master BOM'!L27</f>
        <v/>
      </c>
      <c r="H15" s="31">
        <f>'Master BOM'!M27</f>
        <v/>
      </c>
      <c r="I15" s="31">
        <f>'Master BOM'!N27</f>
        <v/>
      </c>
      <c r="J15" s="12">
        <f>'Master BOM'!O27</f>
        <v/>
      </c>
      <c r="K15" s="12">
        <f>'Master BOM'!P27</f>
        <v/>
      </c>
      <c r="L15" s="12">
        <f>'Master BOM'!Q27</f>
        <v/>
      </c>
      <c r="M15" s="12">
        <f>'Master BOM'!R27</f>
        <v/>
      </c>
      <c r="N15" s="13">
        <f>'Master BOM'!S27</f>
        <v/>
      </c>
    </row>
    <row r="16" ht="28" customHeight="1">
      <c r="A16" s="12">
        <f>'Master BOM'!A28</f>
        <v/>
      </c>
      <c r="B16" s="12">
        <f>'Master BOM'!C28</f>
        <v/>
      </c>
      <c r="C16" s="13">
        <f>'Master BOM'!D28</f>
        <v/>
      </c>
      <c r="D16" s="13">
        <f>'Master BOM'!E28</f>
        <v/>
      </c>
      <c r="E16" s="14">
        <f>'Master BOM'!F28</f>
        <v/>
      </c>
      <c r="F16" s="31">
        <f>'Master BOM'!G28</f>
        <v/>
      </c>
      <c r="G16" s="31">
        <f>'Master BOM'!L28</f>
        <v/>
      </c>
      <c r="H16" s="31">
        <f>'Master BOM'!M28</f>
        <v/>
      </c>
      <c r="I16" s="31">
        <f>'Master BOM'!N28</f>
        <v/>
      </c>
      <c r="J16" s="12">
        <f>'Master BOM'!O28</f>
        <v/>
      </c>
      <c r="K16" s="12">
        <f>'Master BOM'!P28</f>
        <v/>
      </c>
      <c r="L16" s="12">
        <f>'Master BOM'!Q28</f>
        <v/>
      </c>
      <c r="M16" s="12">
        <f>'Master BOM'!R28</f>
        <v/>
      </c>
      <c r="N16" s="13">
        <f>'Master BOM'!S28</f>
        <v/>
      </c>
    </row>
    <row r="17" ht="28" customHeight="1">
      <c r="A17" s="12">
        <f>'Master BOM'!A29</f>
        <v/>
      </c>
      <c r="B17" s="12">
        <f>'Master BOM'!C29</f>
        <v/>
      </c>
      <c r="C17" s="13">
        <f>'Master BOM'!D29</f>
        <v/>
      </c>
      <c r="D17" s="13">
        <f>'Master BOM'!E29</f>
        <v/>
      </c>
      <c r="E17" s="14">
        <f>'Master BOM'!F29</f>
        <v/>
      </c>
      <c r="F17" s="31">
        <f>'Master BOM'!G29</f>
        <v/>
      </c>
      <c r="G17" s="31">
        <f>'Master BOM'!L29</f>
        <v/>
      </c>
      <c r="H17" s="31">
        <f>'Master BOM'!M29</f>
        <v/>
      </c>
      <c r="I17" s="31">
        <f>'Master BOM'!N29</f>
        <v/>
      </c>
      <c r="J17" s="12">
        <f>'Master BOM'!O29</f>
        <v/>
      </c>
      <c r="K17" s="12">
        <f>'Master BOM'!P29</f>
        <v/>
      </c>
      <c r="L17" s="12">
        <f>'Master BOM'!Q29</f>
        <v/>
      </c>
      <c r="M17" s="12">
        <f>'Master BOM'!R29</f>
        <v/>
      </c>
      <c r="N17" s="13">
        <f>'Master BOM'!S29</f>
        <v/>
      </c>
    </row>
    <row r="18" ht="28" customHeight="1">
      <c r="A18" s="12">
        <f>'Master BOM'!A30</f>
        <v/>
      </c>
      <c r="B18" s="12">
        <f>'Master BOM'!C30</f>
        <v/>
      </c>
      <c r="C18" s="13">
        <f>'Master BOM'!D30</f>
        <v/>
      </c>
      <c r="D18" s="13">
        <f>'Master BOM'!E30</f>
        <v/>
      </c>
      <c r="E18" s="14">
        <f>'Master BOM'!F30</f>
        <v/>
      </c>
      <c r="F18" s="31">
        <f>'Master BOM'!G30</f>
        <v/>
      </c>
      <c r="G18" s="31">
        <f>'Master BOM'!L30</f>
        <v/>
      </c>
      <c r="H18" s="31">
        <f>'Master BOM'!M30</f>
        <v/>
      </c>
      <c r="I18" s="31">
        <f>'Master BOM'!N30</f>
        <v/>
      </c>
      <c r="J18" s="12">
        <f>'Master BOM'!O30</f>
        <v/>
      </c>
      <c r="K18" s="12">
        <f>'Master BOM'!P30</f>
        <v/>
      </c>
      <c r="L18" s="12">
        <f>'Master BOM'!Q30</f>
        <v/>
      </c>
      <c r="M18" s="12">
        <f>'Master BOM'!R30</f>
        <v/>
      </c>
      <c r="N18" s="13">
        <f>'Master BOM'!S30</f>
        <v/>
      </c>
    </row>
    <row r="19" ht="28" customHeight="1">
      <c r="A19" s="12">
        <f>'Master BOM'!A31</f>
        <v/>
      </c>
      <c r="B19" s="12">
        <f>'Master BOM'!C31</f>
        <v/>
      </c>
      <c r="C19" s="13">
        <f>'Master BOM'!D31</f>
        <v/>
      </c>
      <c r="D19" s="13">
        <f>'Master BOM'!E31</f>
        <v/>
      </c>
      <c r="E19" s="14">
        <f>'Master BOM'!F31</f>
        <v/>
      </c>
      <c r="F19" s="31">
        <f>'Master BOM'!G31</f>
        <v/>
      </c>
      <c r="G19" s="31">
        <f>'Master BOM'!L31</f>
        <v/>
      </c>
      <c r="H19" s="31">
        <f>'Master BOM'!M31</f>
        <v/>
      </c>
      <c r="I19" s="31">
        <f>'Master BOM'!N31</f>
        <v/>
      </c>
      <c r="J19" s="12">
        <f>'Master BOM'!O31</f>
        <v/>
      </c>
      <c r="K19" s="12">
        <f>'Master BOM'!P31</f>
        <v/>
      </c>
      <c r="L19" s="12">
        <f>'Master BOM'!Q31</f>
        <v/>
      </c>
      <c r="M19" s="12">
        <f>'Master BOM'!R31</f>
        <v/>
      </c>
      <c r="N19" s="13">
        <f>'Master BOM'!S31</f>
        <v/>
      </c>
    </row>
    <row r="20" ht="28" customHeight="1">
      <c r="A20" s="12">
        <f>'Master BOM'!A32</f>
        <v/>
      </c>
      <c r="B20" s="12">
        <f>'Master BOM'!C32</f>
        <v/>
      </c>
      <c r="C20" s="13">
        <f>'Master BOM'!D32</f>
        <v/>
      </c>
      <c r="D20" s="13">
        <f>'Master BOM'!E32</f>
        <v/>
      </c>
      <c r="E20" s="14">
        <f>'Master BOM'!F32</f>
        <v/>
      </c>
      <c r="F20" s="31">
        <f>'Master BOM'!G32</f>
        <v/>
      </c>
      <c r="G20" s="31">
        <f>'Master BOM'!L32</f>
        <v/>
      </c>
      <c r="H20" s="31">
        <f>'Master BOM'!M32</f>
        <v/>
      </c>
      <c r="I20" s="31">
        <f>'Master BOM'!N32</f>
        <v/>
      </c>
      <c r="J20" s="12">
        <f>'Master BOM'!O32</f>
        <v/>
      </c>
      <c r="K20" s="12">
        <f>'Master BOM'!P32</f>
        <v/>
      </c>
      <c r="L20" s="12">
        <f>'Master BOM'!Q32</f>
        <v/>
      </c>
      <c r="M20" s="12">
        <f>'Master BOM'!R32</f>
        <v/>
      </c>
      <c r="N20" s="13">
        <f>'Master BOM'!S32</f>
        <v/>
      </c>
    </row>
    <row r="22">
      <c r="C22" s="19" t="inlineStr">
        <is>
          <t>ROLE TOTAL</t>
        </is>
      </c>
      <c r="G22" s="20">
        <f>SUM(G6:G20)</f>
        <v/>
      </c>
      <c r="H22" s="20">
        <f>SUM(H6:H20)</f>
        <v/>
      </c>
      <c r="I22" s="20">
        <f>SUM(I6:I20)</f>
        <v/>
      </c>
    </row>
    <row r="24">
      <c r="C24"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N17"/>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Mapping — Angel</t>
        </is>
      </c>
    </row>
    <row r="2">
      <c r="A2" s="10" t="inlineStr">
        <is>
          <t>Responsibilities: Localization concept, map representation, vehicle state estimation, filter selection, loop closure, localization accuracy</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BOM'!A33</f>
        <v/>
      </c>
      <c r="B6" s="12">
        <f>'Master BOM'!C33</f>
        <v/>
      </c>
      <c r="C6" s="13">
        <f>'Master BOM'!D33</f>
        <v/>
      </c>
      <c r="D6" s="13">
        <f>'Master BOM'!E33</f>
        <v/>
      </c>
      <c r="E6" s="14">
        <f>'Master BOM'!F33</f>
        <v/>
      </c>
      <c r="F6" s="31">
        <f>'Master BOM'!G33</f>
        <v/>
      </c>
      <c r="G6" s="31">
        <f>'Master BOM'!L33</f>
        <v/>
      </c>
      <c r="H6" s="31">
        <f>'Master BOM'!M33</f>
        <v/>
      </c>
      <c r="I6" s="31">
        <f>'Master BOM'!N33</f>
        <v/>
      </c>
      <c r="J6" s="12">
        <f>'Master BOM'!O33</f>
        <v/>
      </c>
      <c r="K6" s="12">
        <f>'Master BOM'!P33</f>
        <v/>
      </c>
      <c r="L6" s="12">
        <f>'Master BOM'!Q33</f>
        <v/>
      </c>
      <c r="M6" s="12">
        <f>'Master BOM'!R33</f>
        <v/>
      </c>
      <c r="N6" s="13">
        <f>'Master BOM'!S33</f>
        <v/>
      </c>
    </row>
    <row r="7" ht="28" customHeight="1">
      <c r="A7" s="12">
        <f>'Master BOM'!A34</f>
        <v/>
      </c>
      <c r="B7" s="12">
        <f>'Master BOM'!C34</f>
        <v/>
      </c>
      <c r="C7" s="13">
        <f>'Master BOM'!D34</f>
        <v/>
      </c>
      <c r="D7" s="13">
        <f>'Master BOM'!E34</f>
        <v/>
      </c>
      <c r="E7" s="14">
        <f>'Master BOM'!F34</f>
        <v/>
      </c>
      <c r="F7" s="31">
        <f>'Master BOM'!G34</f>
        <v/>
      </c>
      <c r="G7" s="31">
        <f>'Master BOM'!L34</f>
        <v/>
      </c>
      <c r="H7" s="31">
        <f>'Master BOM'!M34</f>
        <v/>
      </c>
      <c r="I7" s="31">
        <f>'Master BOM'!N34</f>
        <v/>
      </c>
      <c r="J7" s="12">
        <f>'Master BOM'!O34</f>
        <v/>
      </c>
      <c r="K7" s="12">
        <f>'Master BOM'!P34</f>
        <v/>
      </c>
      <c r="L7" s="12">
        <f>'Master BOM'!Q34</f>
        <v/>
      </c>
      <c r="M7" s="12">
        <f>'Master BOM'!R34</f>
        <v/>
      </c>
      <c r="N7" s="13">
        <f>'Master BOM'!S34</f>
        <v/>
      </c>
    </row>
    <row r="8" ht="28" customHeight="1">
      <c r="A8" s="12">
        <f>'Master BOM'!A35</f>
        <v/>
      </c>
      <c r="B8" s="12">
        <f>'Master BOM'!C35</f>
        <v/>
      </c>
      <c r="C8" s="13">
        <f>'Master BOM'!D35</f>
        <v/>
      </c>
      <c r="D8" s="13">
        <f>'Master BOM'!E35</f>
        <v/>
      </c>
      <c r="E8" s="14">
        <f>'Master BOM'!F35</f>
        <v/>
      </c>
      <c r="F8" s="31">
        <f>'Master BOM'!G35</f>
        <v/>
      </c>
      <c r="G8" s="31">
        <f>'Master BOM'!L35</f>
        <v/>
      </c>
      <c r="H8" s="31">
        <f>'Master BOM'!M35</f>
        <v/>
      </c>
      <c r="I8" s="31">
        <f>'Master BOM'!N35</f>
        <v/>
      </c>
      <c r="J8" s="12">
        <f>'Master BOM'!O35</f>
        <v/>
      </c>
      <c r="K8" s="12">
        <f>'Master BOM'!P35</f>
        <v/>
      </c>
      <c r="L8" s="12">
        <f>'Master BOM'!Q35</f>
        <v/>
      </c>
      <c r="M8" s="12">
        <f>'Master BOM'!R35</f>
        <v/>
      </c>
      <c r="N8" s="13">
        <f>'Master BOM'!S35</f>
        <v/>
      </c>
    </row>
    <row r="9" ht="28" customHeight="1">
      <c r="A9" s="12">
        <f>'Master BOM'!A36</f>
        <v/>
      </c>
      <c r="B9" s="12">
        <f>'Master BOM'!C36</f>
        <v/>
      </c>
      <c r="C9" s="13">
        <f>'Master BOM'!D36</f>
        <v/>
      </c>
      <c r="D9" s="13">
        <f>'Master BOM'!E36</f>
        <v/>
      </c>
      <c r="E9" s="14">
        <f>'Master BOM'!F36</f>
        <v/>
      </c>
      <c r="F9" s="31">
        <f>'Master BOM'!G36</f>
        <v/>
      </c>
      <c r="G9" s="31">
        <f>'Master BOM'!L36</f>
        <v/>
      </c>
      <c r="H9" s="31">
        <f>'Master BOM'!M36</f>
        <v/>
      </c>
      <c r="I9" s="31">
        <f>'Master BOM'!N36</f>
        <v/>
      </c>
      <c r="J9" s="12">
        <f>'Master BOM'!O36</f>
        <v/>
      </c>
      <c r="K9" s="12">
        <f>'Master BOM'!P36</f>
        <v/>
      </c>
      <c r="L9" s="12">
        <f>'Master BOM'!Q36</f>
        <v/>
      </c>
      <c r="M9" s="12">
        <f>'Master BOM'!R36</f>
        <v/>
      </c>
      <c r="N9" s="13">
        <f>'Master BOM'!S36</f>
        <v/>
      </c>
    </row>
    <row r="10" ht="28" customHeight="1">
      <c r="A10" s="12">
        <f>'Master BOM'!A37</f>
        <v/>
      </c>
      <c r="B10" s="12">
        <f>'Master BOM'!C37</f>
        <v/>
      </c>
      <c r="C10" s="13">
        <f>'Master BOM'!D37</f>
        <v/>
      </c>
      <c r="D10" s="13">
        <f>'Master BOM'!E37</f>
        <v/>
      </c>
      <c r="E10" s="14">
        <f>'Master BOM'!F37</f>
        <v/>
      </c>
      <c r="F10" s="31">
        <f>'Master BOM'!G37</f>
        <v/>
      </c>
      <c r="G10" s="31">
        <f>'Master BOM'!L37</f>
        <v/>
      </c>
      <c r="H10" s="31">
        <f>'Master BOM'!M37</f>
        <v/>
      </c>
      <c r="I10" s="31">
        <f>'Master BOM'!N37</f>
        <v/>
      </c>
      <c r="J10" s="12">
        <f>'Master BOM'!O37</f>
        <v/>
      </c>
      <c r="K10" s="12">
        <f>'Master BOM'!P37</f>
        <v/>
      </c>
      <c r="L10" s="12">
        <f>'Master BOM'!Q37</f>
        <v/>
      </c>
      <c r="M10" s="12">
        <f>'Master BOM'!R37</f>
        <v/>
      </c>
      <c r="N10" s="13">
        <f>'Master BOM'!S37</f>
        <v/>
      </c>
    </row>
    <row r="11" ht="28" customHeight="1">
      <c r="A11" s="12">
        <f>'Master BOM'!A38</f>
        <v/>
      </c>
      <c r="B11" s="12">
        <f>'Master BOM'!C38</f>
        <v/>
      </c>
      <c r="C11" s="13">
        <f>'Master BOM'!D38</f>
        <v/>
      </c>
      <c r="D11" s="13">
        <f>'Master BOM'!E38</f>
        <v/>
      </c>
      <c r="E11" s="14">
        <f>'Master BOM'!F38</f>
        <v/>
      </c>
      <c r="F11" s="31">
        <f>'Master BOM'!G38</f>
        <v/>
      </c>
      <c r="G11" s="31">
        <f>'Master BOM'!L38</f>
        <v/>
      </c>
      <c r="H11" s="31">
        <f>'Master BOM'!M38</f>
        <v/>
      </c>
      <c r="I11" s="31">
        <f>'Master BOM'!N38</f>
        <v/>
      </c>
      <c r="J11" s="12">
        <f>'Master BOM'!O38</f>
        <v/>
      </c>
      <c r="K11" s="12">
        <f>'Master BOM'!P38</f>
        <v/>
      </c>
      <c r="L11" s="12">
        <f>'Master BOM'!Q38</f>
        <v/>
      </c>
      <c r="M11" s="12">
        <f>'Master BOM'!R38</f>
        <v/>
      </c>
      <c r="N11" s="13">
        <f>'Master BOM'!S38</f>
        <v/>
      </c>
    </row>
    <row r="12" ht="28" customHeight="1">
      <c r="A12" s="12">
        <f>'Master BOM'!A39</f>
        <v/>
      </c>
      <c r="B12" s="12">
        <f>'Master BOM'!C39</f>
        <v/>
      </c>
      <c r="C12" s="13">
        <f>'Master BOM'!D39</f>
        <v/>
      </c>
      <c r="D12" s="13">
        <f>'Master BOM'!E39</f>
        <v/>
      </c>
      <c r="E12" s="14">
        <f>'Master BOM'!F39</f>
        <v/>
      </c>
      <c r="F12" s="31">
        <f>'Master BOM'!G39</f>
        <v/>
      </c>
      <c r="G12" s="31">
        <f>'Master BOM'!L39</f>
        <v/>
      </c>
      <c r="H12" s="31">
        <f>'Master BOM'!M39</f>
        <v/>
      </c>
      <c r="I12" s="31">
        <f>'Master BOM'!N39</f>
        <v/>
      </c>
      <c r="J12" s="12">
        <f>'Master BOM'!O39</f>
        <v/>
      </c>
      <c r="K12" s="12">
        <f>'Master BOM'!P39</f>
        <v/>
      </c>
      <c r="L12" s="12">
        <f>'Master BOM'!Q39</f>
        <v/>
      </c>
      <c r="M12" s="12">
        <f>'Master BOM'!R39</f>
        <v/>
      </c>
      <c r="N12" s="13">
        <f>'Master BOM'!S39</f>
        <v/>
      </c>
    </row>
    <row r="13" ht="28" customHeight="1">
      <c r="A13" s="12">
        <f>'Master BOM'!A40</f>
        <v/>
      </c>
      <c r="B13" s="12">
        <f>'Master BOM'!C40</f>
        <v/>
      </c>
      <c r="C13" s="13">
        <f>'Master BOM'!D40</f>
        <v/>
      </c>
      <c r="D13" s="13">
        <f>'Master BOM'!E40</f>
        <v/>
      </c>
      <c r="E13" s="14">
        <f>'Master BOM'!F40</f>
        <v/>
      </c>
      <c r="F13" s="31">
        <f>'Master BOM'!G40</f>
        <v/>
      </c>
      <c r="G13" s="31">
        <f>'Master BOM'!L40</f>
        <v/>
      </c>
      <c r="H13" s="31">
        <f>'Master BOM'!M40</f>
        <v/>
      </c>
      <c r="I13" s="31">
        <f>'Master BOM'!N40</f>
        <v/>
      </c>
      <c r="J13" s="12">
        <f>'Master BOM'!O40</f>
        <v/>
      </c>
      <c r="K13" s="12">
        <f>'Master BOM'!P40</f>
        <v/>
      </c>
      <c r="L13" s="12">
        <f>'Master BOM'!Q40</f>
        <v/>
      </c>
      <c r="M13" s="12">
        <f>'Master BOM'!R40</f>
        <v/>
      </c>
      <c r="N13" s="13">
        <f>'Master BOM'!S40</f>
        <v/>
      </c>
    </row>
    <row r="15">
      <c r="C15" s="19" t="inlineStr">
        <is>
          <t>ROLE TOTAL</t>
        </is>
      </c>
      <c r="G15" s="20">
        <f>SUM(G6:G13)</f>
        <v/>
      </c>
      <c r="H15" s="20">
        <f>SUM(H6:H13)</f>
        <v/>
      </c>
      <c r="I15" s="20">
        <f>SUM(I6:I13)</f>
        <v/>
      </c>
    </row>
    <row r="17">
      <c r="C17"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14"/>
  <sheetViews>
    <sheetView zoomScaleNormal="100" workbookViewId="0">
      <pane xSplit="2" ySplit="5" topLeftCell="C6" activePane="bottomRight" state="frozen"/>
      <selection pane="topRight" activeCell="C1" sqref="C1"/>
      <selection pane="bottomLeft" activeCell="A6" sqref="A6"/>
      <selection pane="bottomRight" activeCell="B1" sqref="B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Planning — Ced</t>
        </is>
      </c>
    </row>
    <row r="2">
      <c r="A2" s="10" t="inlineStr">
        <is>
          <t>Responsibilities: Planning concept, path generation, vehicle model, speed profile, lateral/longitudinal control, actuator interfaces, control validation</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BOM'!A41</f>
        <v/>
      </c>
      <c r="B6" s="12">
        <f>'Master BOM'!C41</f>
        <v/>
      </c>
      <c r="C6" s="13">
        <f>'Master BOM'!D41</f>
        <v/>
      </c>
      <c r="D6" s="13">
        <f>'Master BOM'!E41</f>
        <v/>
      </c>
      <c r="E6" s="14">
        <f>'Master BOM'!F41</f>
        <v/>
      </c>
      <c r="F6" s="31">
        <f>'Master BOM'!G41</f>
        <v/>
      </c>
      <c r="G6" s="31">
        <f>'Master BOM'!L41</f>
        <v/>
      </c>
      <c r="H6" s="31">
        <f>'Master BOM'!M41</f>
        <v/>
      </c>
      <c r="I6" s="31">
        <f>'Master BOM'!N41</f>
        <v/>
      </c>
      <c r="J6" s="12">
        <f>'Master BOM'!O41</f>
        <v/>
      </c>
      <c r="K6" s="12">
        <f>'Master BOM'!P41</f>
        <v/>
      </c>
      <c r="L6" s="12">
        <f>'Master BOM'!Q41</f>
        <v/>
      </c>
      <c r="M6" s="12">
        <f>'Master BOM'!R41</f>
        <v/>
      </c>
      <c r="N6" s="13">
        <f>'Master BOM'!S41</f>
        <v/>
      </c>
    </row>
    <row r="7">
      <c r="A7" s="12">
        <f>'Master BOM'!A42</f>
        <v/>
      </c>
      <c r="B7" s="12">
        <f>'Master BOM'!C42</f>
        <v/>
      </c>
      <c r="C7" s="13">
        <f>'Master BOM'!D42</f>
        <v/>
      </c>
      <c r="D7" s="13">
        <f>'Master BOM'!E42</f>
        <v/>
      </c>
      <c r="E7" s="14">
        <f>'Master BOM'!F42</f>
        <v/>
      </c>
      <c r="F7" s="31">
        <f>'Master BOM'!G42</f>
        <v/>
      </c>
      <c r="G7" s="31">
        <f>'Master BOM'!L42</f>
        <v/>
      </c>
      <c r="H7" s="31">
        <f>'Master BOM'!M42</f>
        <v/>
      </c>
      <c r="I7" s="31">
        <f>'Master BOM'!N42</f>
        <v/>
      </c>
      <c r="J7" s="12">
        <f>'Master BOM'!O42</f>
        <v/>
      </c>
      <c r="K7" s="12">
        <f>'Master BOM'!P42</f>
        <v/>
      </c>
      <c r="L7" s="12">
        <f>'Master BOM'!Q42</f>
        <v/>
      </c>
      <c r="M7" s="12">
        <f>'Master BOM'!R42</f>
        <v/>
      </c>
      <c r="N7" s="13">
        <f>'Master BOM'!S42</f>
        <v/>
      </c>
    </row>
    <row r="8" ht="28" customHeight="1">
      <c r="A8" s="12">
        <f>'Master BOM'!A43</f>
        <v/>
      </c>
      <c r="B8" s="12">
        <f>'Master BOM'!C43</f>
        <v/>
      </c>
      <c r="C8" s="13">
        <f>'Master BOM'!D43</f>
        <v/>
      </c>
      <c r="D8" s="13">
        <f>'Master BOM'!E43</f>
        <v/>
      </c>
      <c r="E8" s="14">
        <f>'Master BOM'!F43</f>
        <v/>
      </c>
      <c r="F8" s="31">
        <f>'Master BOM'!G43</f>
        <v/>
      </c>
      <c r="G8" s="31">
        <f>'Master BOM'!L43</f>
        <v/>
      </c>
      <c r="H8" s="31">
        <f>'Master BOM'!M43</f>
        <v/>
      </c>
      <c r="I8" s="31">
        <f>'Master BOM'!N43</f>
        <v/>
      </c>
      <c r="J8" s="12">
        <f>'Master BOM'!O43</f>
        <v/>
      </c>
      <c r="K8" s="12">
        <f>'Master BOM'!P43</f>
        <v/>
      </c>
      <c r="L8" s="12">
        <f>'Master BOM'!Q43</f>
        <v/>
      </c>
      <c r="M8" s="12">
        <f>'Master BOM'!R43</f>
        <v/>
      </c>
      <c r="N8" s="13">
        <f>'Master BOM'!S43</f>
        <v/>
      </c>
    </row>
    <row r="9" ht="28" customHeight="1">
      <c r="A9" s="12">
        <f>'Master BOM'!A44</f>
        <v/>
      </c>
      <c r="B9" s="12">
        <f>'Master BOM'!C44</f>
        <v/>
      </c>
      <c r="C9" s="13">
        <f>'Master BOM'!D44</f>
        <v/>
      </c>
      <c r="D9" s="13">
        <f>'Master BOM'!E44</f>
        <v/>
      </c>
      <c r="E9" s="14">
        <f>'Master BOM'!F44</f>
        <v/>
      </c>
      <c r="F9" s="31">
        <f>'Master BOM'!G44</f>
        <v/>
      </c>
      <c r="G9" s="31">
        <f>'Master BOM'!L44</f>
        <v/>
      </c>
      <c r="H9" s="31">
        <f>'Master BOM'!M44</f>
        <v/>
      </c>
      <c r="I9" s="31">
        <f>'Master BOM'!N44</f>
        <v/>
      </c>
      <c r="J9" s="12">
        <f>'Master BOM'!O44</f>
        <v/>
      </c>
      <c r="K9" s="12">
        <f>'Master BOM'!P44</f>
        <v/>
      </c>
      <c r="L9" s="12">
        <f>'Master BOM'!Q44</f>
        <v/>
      </c>
      <c r="M9" s="12">
        <f>'Master BOM'!R44</f>
        <v/>
      </c>
      <c r="N9" s="13">
        <f>'Master BOM'!S44</f>
        <v/>
      </c>
    </row>
    <row r="10" ht="28" customHeight="1">
      <c r="A10" s="12">
        <f>'Master BOM'!A45</f>
        <v/>
      </c>
      <c r="B10" s="12">
        <f>'Master BOM'!C45</f>
        <v/>
      </c>
      <c r="C10" s="13">
        <f>'Master BOM'!D45</f>
        <v/>
      </c>
      <c r="D10" s="13">
        <f>'Master BOM'!E45</f>
        <v/>
      </c>
      <c r="E10" s="14">
        <f>'Master BOM'!F45</f>
        <v/>
      </c>
      <c r="F10" s="31">
        <f>'Master BOM'!G45</f>
        <v/>
      </c>
      <c r="G10" s="31">
        <f>'Master BOM'!L45</f>
        <v/>
      </c>
      <c r="H10" s="31">
        <f>'Master BOM'!M45</f>
        <v/>
      </c>
      <c r="I10" s="31">
        <f>'Master BOM'!N45</f>
        <v/>
      </c>
      <c r="J10" s="12">
        <f>'Master BOM'!O45</f>
        <v/>
      </c>
      <c r="K10" s="12">
        <f>'Master BOM'!P45</f>
        <v/>
      </c>
      <c r="L10" s="12">
        <f>'Master BOM'!Q45</f>
        <v/>
      </c>
      <c r="M10" s="12">
        <f>'Master BOM'!R45</f>
        <v/>
      </c>
      <c r="N10" s="13">
        <f>'Master BOM'!S45</f>
        <v/>
      </c>
    </row>
    <row r="12">
      <c r="C12" s="19" t="inlineStr">
        <is>
          <t>ROLE TOTAL</t>
        </is>
      </c>
      <c r="G12" s="20">
        <f>SUM(G6:G10)</f>
        <v/>
      </c>
      <c r="H12" s="20">
        <f>SUM(H6:H10)</f>
        <v/>
      </c>
      <c r="I12" s="20">
        <f>SUM(I6:I10)</f>
        <v/>
      </c>
    </row>
    <row r="14">
      <c r="C14"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N32"/>
  <sheetViews>
    <sheetView zoomScaleNormal="100" workbookViewId="0">
      <pane xSplit="2" ySplit="5" topLeftCell="C9"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Firmware — Mason</t>
        </is>
      </c>
    </row>
    <row r="2">
      <c r="A2" s="10" t="inlineStr">
        <is>
          <t>Responsibilities: Bring-up of LiDAR/camera/Jetson, low-level comms (CAN/UART/SPI/ADC), state machine, VCU, actuation motors, DMI dash, Docker</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BOM'!A46</f>
        <v/>
      </c>
      <c r="B6" s="12">
        <f>'Master BOM'!C46</f>
        <v/>
      </c>
      <c r="C6" s="13">
        <f>'Master BOM'!D46</f>
        <v/>
      </c>
      <c r="D6" s="13">
        <f>'Master BOM'!E46</f>
        <v/>
      </c>
      <c r="E6" s="14">
        <f>'Master BOM'!F46</f>
        <v/>
      </c>
      <c r="F6" s="31">
        <f>'Master BOM'!G46</f>
        <v/>
      </c>
      <c r="G6" s="31">
        <f>'Master BOM'!L46</f>
        <v/>
      </c>
      <c r="H6" s="31">
        <f>'Master BOM'!M46</f>
        <v/>
      </c>
      <c r="I6" s="31">
        <f>'Master BOM'!N46</f>
        <v/>
      </c>
      <c r="J6" s="12">
        <f>'Master BOM'!O46</f>
        <v/>
      </c>
      <c r="K6" s="12">
        <f>'Master BOM'!P46</f>
        <v/>
      </c>
      <c r="L6" s="12">
        <f>'Master BOM'!Q46</f>
        <v/>
      </c>
      <c r="M6" s="12">
        <f>'Master BOM'!R46</f>
        <v/>
      </c>
      <c r="N6" s="13">
        <f>'Master BOM'!S46</f>
        <v/>
      </c>
    </row>
    <row r="7" ht="28" customHeight="1">
      <c r="A7" s="12">
        <f>'Master BOM'!A47</f>
        <v/>
      </c>
      <c r="B7" s="12">
        <f>'Master BOM'!C47</f>
        <v/>
      </c>
      <c r="C7" s="13">
        <f>'Master BOM'!D47</f>
        <v/>
      </c>
      <c r="D7" s="13">
        <f>'Master BOM'!E47</f>
        <v/>
      </c>
      <c r="E7" s="14">
        <f>'Master BOM'!F47</f>
        <v/>
      </c>
      <c r="F7" s="31">
        <f>'Master BOM'!G47</f>
        <v/>
      </c>
      <c r="G7" s="31">
        <f>'Master BOM'!L47</f>
        <v/>
      </c>
      <c r="H7" s="31">
        <f>'Master BOM'!M47</f>
        <v/>
      </c>
      <c r="I7" s="31">
        <f>'Master BOM'!N47</f>
        <v/>
      </c>
      <c r="J7" s="12">
        <f>'Master BOM'!O47</f>
        <v/>
      </c>
      <c r="K7" s="12">
        <f>'Master BOM'!P47</f>
        <v/>
      </c>
      <c r="L7" s="12">
        <f>'Master BOM'!Q47</f>
        <v/>
      </c>
      <c r="M7" s="12">
        <f>'Master BOM'!R47</f>
        <v/>
      </c>
      <c r="N7" s="13">
        <f>'Master BOM'!S47</f>
        <v/>
      </c>
    </row>
    <row r="8" ht="28" customHeight="1">
      <c r="A8" s="12">
        <f>'Master BOM'!A48</f>
        <v/>
      </c>
      <c r="B8" s="12">
        <f>'Master BOM'!C48</f>
        <v/>
      </c>
      <c r="C8" s="13">
        <f>'Master BOM'!D48</f>
        <v/>
      </c>
      <c r="D8" s="13">
        <f>'Master BOM'!E48</f>
        <v/>
      </c>
      <c r="E8" s="14">
        <f>'Master BOM'!F48</f>
        <v/>
      </c>
      <c r="F8" s="31">
        <f>'Master BOM'!G48</f>
        <v/>
      </c>
      <c r="G8" s="31">
        <f>'Master BOM'!L48</f>
        <v/>
      </c>
      <c r="H8" s="31">
        <f>'Master BOM'!M48</f>
        <v/>
      </c>
      <c r="I8" s="31">
        <f>'Master BOM'!N48</f>
        <v/>
      </c>
      <c r="J8" s="12">
        <f>'Master BOM'!O48</f>
        <v/>
      </c>
      <c r="K8" s="12">
        <f>'Master BOM'!P48</f>
        <v/>
      </c>
      <c r="L8" s="12">
        <f>'Master BOM'!Q48</f>
        <v/>
      </c>
      <c r="M8" s="12">
        <f>'Master BOM'!R48</f>
        <v/>
      </c>
      <c r="N8" s="13">
        <f>'Master BOM'!S48</f>
        <v/>
      </c>
    </row>
    <row r="9">
      <c r="A9" s="12">
        <f>'Master BOM'!A49</f>
        <v/>
      </c>
      <c r="B9" s="12">
        <f>'Master BOM'!C49</f>
        <v/>
      </c>
      <c r="C9" s="13">
        <f>'Master BOM'!D49</f>
        <v/>
      </c>
      <c r="D9" s="13">
        <f>'Master BOM'!E49</f>
        <v/>
      </c>
      <c r="E9" s="14">
        <f>'Master BOM'!F49</f>
        <v/>
      </c>
      <c r="F9" s="31">
        <f>'Master BOM'!G49</f>
        <v/>
      </c>
      <c r="G9" s="31">
        <f>'Master BOM'!L49</f>
        <v/>
      </c>
      <c r="H9" s="31">
        <f>'Master BOM'!M49</f>
        <v/>
      </c>
      <c r="I9" s="31">
        <f>'Master BOM'!N49</f>
        <v/>
      </c>
      <c r="J9" s="12">
        <f>'Master BOM'!O49</f>
        <v/>
      </c>
      <c r="K9" s="12">
        <f>'Master BOM'!P49</f>
        <v/>
      </c>
      <c r="L9" s="12">
        <f>'Master BOM'!Q49</f>
        <v/>
      </c>
      <c r="M9" s="12">
        <f>'Master BOM'!R49</f>
        <v/>
      </c>
      <c r="N9" s="13">
        <f>'Master BOM'!S49</f>
        <v/>
      </c>
    </row>
    <row r="10">
      <c r="A10" s="12">
        <f>'Master BOM'!A50</f>
        <v/>
      </c>
      <c r="B10" s="12">
        <f>'Master BOM'!C50</f>
        <v/>
      </c>
      <c r="C10" s="13">
        <f>'Master BOM'!D50</f>
        <v/>
      </c>
      <c r="D10" s="13">
        <f>'Master BOM'!E50</f>
        <v/>
      </c>
      <c r="E10" s="14">
        <f>'Master BOM'!F50</f>
        <v/>
      </c>
      <c r="F10" s="31">
        <f>'Master BOM'!G50</f>
        <v/>
      </c>
      <c r="G10" s="31">
        <f>'Master BOM'!L50</f>
        <v/>
      </c>
      <c r="H10" s="31">
        <f>'Master BOM'!M50</f>
        <v/>
      </c>
      <c r="I10" s="31">
        <f>'Master BOM'!N50</f>
        <v/>
      </c>
      <c r="J10" s="12">
        <f>'Master BOM'!O50</f>
        <v/>
      </c>
      <c r="K10" s="12">
        <f>'Master BOM'!P50</f>
        <v/>
      </c>
      <c r="L10" s="12">
        <f>'Master BOM'!Q50</f>
        <v/>
      </c>
      <c r="M10" s="12">
        <f>'Master BOM'!R50</f>
        <v/>
      </c>
      <c r="N10" s="13">
        <f>'Master BOM'!S50</f>
        <v/>
      </c>
    </row>
    <row r="11" ht="28" customHeight="1">
      <c r="A11" s="12">
        <f>'Master BOM'!A51</f>
        <v/>
      </c>
      <c r="B11" s="12">
        <f>'Master BOM'!C51</f>
        <v/>
      </c>
      <c r="C11" s="13">
        <f>'Master BOM'!D51</f>
        <v/>
      </c>
      <c r="D11" s="13">
        <f>'Master BOM'!E51</f>
        <v/>
      </c>
      <c r="E11" s="14">
        <f>'Master BOM'!F51</f>
        <v/>
      </c>
      <c r="F11" s="31">
        <f>'Master BOM'!G51</f>
        <v/>
      </c>
      <c r="G11" s="31">
        <f>'Master BOM'!L51</f>
        <v/>
      </c>
      <c r="H11" s="31">
        <f>'Master BOM'!M51</f>
        <v/>
      </c>
      <c r="I11" s="31">
        <f>'Master BOM'!N51</f>
        <v/>
      </c>
      <c r="J11" s="12">
        <f>'Master BOM'!O51</f>
        <v/>
      </c>
      <c r="K11" s="12">
        <f>'Master BOM'!P51</f>
        <v/>
      </c>
      <c r="L11" s="12">
        <f>'Master BOM'!Q51</f>
        <v/>
      </c>
      <c r="M11" s="12">
        <f>'Master BOM'!R51</f>
        <v/>
      </c>
      <c r="N11" s="13">
        <f>'Master BOM'!S51</f>
        <v/>
      </c>
    </row>
    <row r="12">
      <c r="A12" s="12">
        <f>'Master BOM'!A52</f>
        <v/>
      </c>
      <c r="B12" s="12">
        <f>'Master BOM'!C52</f>
        <v/>
      </c>
      <c r="C12" s="13">
        <f>'Master BOM'!D52</f>
        <v/>
      </c>
      <c r="D12" s="13">
        <f>'Master BOM'!E52</f>
        <v/>
      </c>
      <c r="E12" s="14">
        <f>'Master BOM'!F52</f>
        <v/>
      </c>
      <c r="F12" s="31">
        <f>'Master BOM'!G52</f>
        <v/>
      </c>
      <c r="G12" s="31">
        <f>'Master BOM'!L52</f>
        <v/>
      </c>
      <c r="H12" s="31">
        <f>'Master BOM'!M52</f>
        <v/>
      </c>
      <c r="I12" s="31">
        <f>'Master BOM'!N52</f>
        <v/>
      </c>
      <c r="J12" s="12">
        <f>'Master BOM'!O52</f>
        <v/>
      </c>
      <c r="K12" s="12">
        <f>'Master BOM'!P52</f>
        <v/>
      </c>
      <c r="L12" s="12">
        <f>'Master BOM'!Q52</f>
        <v/>
      </c>
      <c r="M12" s="12">
        <f>'Master BOM'!R52</f>
        <v/>
      </c>
      <c r="N12" s="13">
        <f>'Master BOM'!S52</f>
        <v/>
      </c>
    </row>
    <row r="13">
      <c r="A13" s="12">
        <f>'Master BOM'!A53</f>
        <v/>
      </c>
      <c r="B13" s="12">
        <f>'Master BOM'!C53</f>
        <v/>
      </c>
      <c r="C13" s="13">
        <f>'Master BOM'!D53</f>
        <v/>
      </c>
      <c r="D13" s="13">
        <f>'Master BOM'!E53</f>
        <v/>
      </c>
      <c r="E13" s="14">
        <f>'Master BOM'!F53</f>
        <v/>
      </c>
      <c r="F13" s="31">
        <f>'Master BOM'!G53</f>
        <v/>
      </c>
      <c r="G13" s="31">
        <f>'Master BOM'!L53</f>
        <v/>
      </c>
      <c r="H13" s="31">
        <f>'Master BOM'!M53</f>
        <v/>
      </c>
      <c r="I13" s="31">
        <f>'Master BOM'!N53</f>
        <v/>
      </c>
      <c r="J13" s="12">
        <f>'Master BOM'!O53</f>
        <v/>
      </c>
      <c r="K13" s="12">
        <f>'Master BOM'!P53</f>
        <v/>
      </c>
      <c r="L13" s="12">
        <f>'Master BOM'!Q53</f>
        <v/>
      </c>
      <c r="M13" s="12">
        <f>'Master BOM'!R53</f>
        <v/>
      </c>
      <c r="N13" s="13">
        <f>'Master BOM'!S53</f>
        <v/>
      </c>
    </row>
    <row r="14" ht="28" customHeight="1">
      <c r="A14" s="12">
        <f>'Master BOM'!A54</f>
        <v/>
      </c>
      <c r="B14" s="12">
        <f>'Master BOM'!C54</f>
        <v/>
      </c>
      <c r="C14" s="13">
        <f>'Master BOM'!D54</f>
        <v/>
      </c>
      <c r="D14" s="13">
        <f>'Master BOM'!E54</f>
        <v/>
      </c>
      <c r="E14" s="14">
        <f>'Master BOM'!F54</f>
        <v/>
      </c>
      <c r="F14" s="31">
        <f>'Master BOM'!G54</f>
        <v/>
      </c>
      <c r="G14" s="31">
        <f>'Master BOM'!L54</f>
        <v/>
      </c>
      <c r="H14" s="31">
        <f>'Master BOM'!M54</f>
        <v/>
      </c>
      <c r="I14" s="31">
        <f>'Master BOM'!N54</f>
        <v/>
      </c>
      <c r="J14" s="12">
        <f>'Master BOM'!O54</f>
        <v/>
      </c>
      <c r="K14" s="12">
        <f>'Master BOM'!P54</f>
        <v/>
      </c>
      <c r="L14" s="12">
        <f>'Master BOM'!Q54</f>
        <v/>
      </c>
      <c r="M14" s="12">
        <f>'Master BOM'!R54</f>
        <v/>
      </c>
      <c r="N14" s="13">
        <f>'Master BOM'!S54</f>
        <v/>
      </c>
    </row>
    <row r="15" ht="28" customHeight="1">
      <c r="A15" s="12">
        <f>'Master BOM'!A55</f>
        <v/>
      </c>
      <c r="B15" s="12">
        <f>'Master BOM'!C55</f>
        <v/>
      </c>
      <c r="C15" s="13">
        <f>'Master BOM'!D55</f>
        <v/>
      </c>
      <c r="D15" s="13">
        <f>'Master BOM'!E55</f>
        <v/>
      </c>
      <c r="E15" s="14">
        <f>'Master BOM'!F55</f>
        <v/>
      </c>
      <c r="F15" s="31">
        <f>'Master BOM'!G55</f>
        <v/>
      </c>
      <c r="G15" s="31">
        <f>'Master BOM'!L55</f>
        <v/>
      </c>
      <c r="H15" s="31">
        <f>'Master BOM'!M55</f>
        <v/>
      </c>
      <c r="I15" s="31">
        <f>'Master BOM'!N55</f>
        <v/>
      </c>
      <c r="J15" s="12">
        <f>'Master BOM'!O55</f>
        <v/>
      </c>
      <c r="K15" s="12">
        <f>'Master BOM'!P55</f>
        <v/>
      </c>
      <c r="L15" s="12">
        <f>'Master BOM'!Q55</f>
        <v/>
      </c>
      <c r="M15" s="12">
        <f>'Master BOM'!R55</f>
        <v/>
      </c>
      <c r="N15" s="13">
        <f>'Master BOM'!S55</f>
        <v/>
      </c>
    </row>
    <row r="16" ht="28" customHeight="1">
      <c r="A16" s="12">
        <f>'Master BOM'!A56</f>
        <v/>
      </c>
      <c r="B16" s="12">
        <f>'Master BOM'!C56</f>
        <v/>
      </c>
      <c r="C16" s="13">
        <f>'Master BOM'!D56</f>
        <v/>
      </c>
      <c r="D16" s="13">
        <f>'Master BOM'!E56</f>
        <v/>
      </c>
      <c r="E16" s="14">
        <f>'Master BOM'!F56</f>
        <v/>
      </c>
      <c r="F16" s="31">
        <f>'Master BOM'!G56</f>
        <v/>
      </c>
      <c r="G16" s="31">
        <f>'Master BOM'!L56</f>
        <v/>
      </c>
      <c r="H16" s="31">
        <f>'Master BOM'!M56</f>
        <v/>
      </c>
      <c r="I16" s="31">
        <f>'Master BOM'!N56</f>
        <v/>
      </c>
      <c r="J16" s="12">
        <f>'Master BOM'!O56</f>
        <v/>
      </c>
      <c r="K16" s="12">
        <f>'Master BOM'!P56</f>
        <v/>
      </c>
      <c r="L16" s="12">
        <f>'Master BOM'!Q56</f>
        <v/>
      </c>
      <c r="M16" s="12">
        <f>'Master BOM'!R56</f>
        <v/>
      </c>
      <c r="N16" s="13">
        <f>'Master BOM'!S56</f>
        <v/>
      </c>
    </row>
    <row r="17">
      <c r="A17" s="12">
        <f>'Master BOM'!A57</f>
        <v/>
      </c>
      <c r="B17" s="12">
        <f>'Master BOM'!C57</f>
        <v/>
      </c>
      <c r="C17" s="13">
        <f>'Master BOM'!D57</f>
        <v/>
      </c>
      <c r="D17" s="13">
        <f>'Master BOM'!E57</f>
        <v/>
      </c>
      <c r="E17" s="14">
        <f>'Master BOM'!F57</f>
        <v/>
      </c>
      <c r="F17" s="31">
        <f>'Master BOM'!G57</f>
        <v/>
      </c>
      <c r="G17" s="31">
        <f>'Master BOM'!L57</f>
        <v/>
      </c>
      <c r="H17" s="31">
        <f>'Master BOM'!M57</f>
        <v/>
      </c>
      <c r="I17" s="31">
        <f>'Master BOM'!N57</f>
        <v/>
      </c>
      <c r="J17" s="12">
        <f>'Master BOM'!O57</f>
        <v/>
      </c>
      <c r="K17" s="12">
        <f>'Master BOM'!P57</f>
        <v/>
      </c>
      <c r="L17" s="12">
        <f>'Master BOM'!Q57</f>
        <v/>
      </c>
      <c r="M17" s="12">
        <f>'Master BOM'!R57</f>
        <v/>
      </c>
      <c r="N17" s="13">
        <f>'Master BOM'!S57</f>
        <v/>
      </c>
    </row>
    <row r="18">
      <c r="A18" s="12">
        <f>'Master BOM'!A58</f>
        <v/>
      </c>
      <c r="B18" s="12">
        <f>'Master BOM'!C58</f>
        <v/>
      </c>
      <c r="C18" s="13">
        <f>'Master BOM'!D58</f>
        <v/>
      </c>
      <c r="D18" s="13">
        <f>'Master BOM'!E58</f>
        <v/>
      </c>
      <c r="E18" s="14">
        <f>'Master BOM'!F58</f>
        <v/>
      </c>
      <c r="F18" s="31">
        <f>'Master BOM'!G58</f>
        <v/>
      </c>
      <c r="G18" s="31">
        <f>'Master BOM'!L58</f>
        <v/>
      </c>
      <c r="H18" s="31">
        <f>'Master BOM'!M58</f>
        <v/>
      </c>
      <c r="I18" s="31">
        <f>'Master BOM'!N58</f>
        <v/>
      </c>
      <c r="J18" s="12">
        <f>'Master BOM'!O58</f>
        <v/>
      </c>
      <c r="K18" s="12">
        <f>'Master BOM'!P58</f>
        <v/>
      </c>
      <c r="L18" s="12">
        <f>'Master BOM'!Q58</f>
        <v/>
      </c>
      <c r="M18" s="12">
        <f>'Master BOM'!R58</f>
        <v/>
      </c>
      <c r="N18" s="13">
        <f>'Master BOM'!S58</f>
        <v/>
      </c>
    </row>
    <row r="19" ht="28" customHeight="1">
      <c r="A19" s="12">
        <f>'Master BOM'!A59</f>
        <v/>
      </c>
      <c r="B19" s="12">
        <f>'Master BOM'!C59</f>
        <v/>
      </c>
      <c r="C19" s="13">
        <f>'Master BOM'!D59</f>
        <v/>
      </c>
      <c r="D19" s="13">
        <f>'Master BOM'!E59</f>
        <v/>
      </c>
      <c r="E19" s="14">
        <f>'Master BOM'!F59</f>
        <v/>
      </c>
      <c r="F19" s="31">
        <f>'Master BOM'!G59</f>
        <v/>
      </c>
      <c r="G19" s="31">
        <f>'Master BOM'!L59</f>
        <v/>
      </c>
      <c r="H19" s="31">
        <f>'Master BOM'!M59</f>
        <v/>
      </c>
      <c r="I19" s="31">
        <f>'Master BOM'!N59</f>
        <v/>
      </c>
      <c r="J19" s="12">
        <f>'Master BOM'!O59</f>
        <v/>
      </c>
      <c r="K19" s="12">
        <f>'Master BOM'!P59</f>
        <v/>
      </c>
      <c r="L19" s="12">
        <f>'Master BOM'!Q59</f>
        <v/>
      </c>
      <c r="M19" s="12">
        <f>'Master BOM'!R59</f>
        <v/>
      </c>
      <c r="N19" s="13">
        <f>'Master BOM'!S59</f>
        <v/>
      </c>
    </row>
    <row r="20" ht="28" customHeight="1">
      <c r="A20" s="12">
        <f>'Master BOM'!A60</f>
        <v/>
      </c>
      <c r="B20" s="12">
        <f>'Master BOM'!C60</f>
        <v/>
      </c>
      <c r="C20" s="13">
        <f>'Master BOM'!D60</f>
        <v/>
      </c>
      <c r="D20" s="13">
        <f>'Master BOM'!E60</f>
        <v/>
      </c>
      <c r="E20" s="14">
        <f>'Master BOM'!F60</f>
        <v/>
      </c>
      <c r="F20" s="31">
        <f>'Master BOM'!G60</f>
        <v/>
      </c>
      <c r="G20" s="31">
        <f>'Master BOM'!L60</f>
        <v/>
      </c>
      <c r="H20" s="31">
        <f>'Master BOM'!M60</f>
        <v/>
      </c>
      <c r="I20" s="31">
        <f>'Master BOM'!N60</f>
        <v/>
      </c>
      <c r="J20" s="12">
        <f>'Master BOM'!O60</f>
        <v/>
      </c>
      <c r="K20" s="12">
        <f>'Master BOM'!P60</f>
        <v/>
      </c>
      <c r="L20" s="12">
        <f>'Master BOM'!Q60</f>
        <v/>
      </c>
      <c r="M20" s="12">
        <f>'Master BOM'!R60</f>
        <v/>
      </c>
      <c r="N20" s="13">
        <f>'Master BOM'!S60</f>
        <v/>
      </c>
    </row>
    <row r="21" ht="28" customHeight="1">
      <c r="A21" s="12">
        <f>'Master BOM'!A61</f>
        <v/>
      </c>
      <c r="B21" s="12">
        <f>'Master BOM'!C61</f>
        <v/>
      </c>
      <c r="C21" s="13">
        <f>'Master BOM'!D61</f>
        <v/>
      </c>
      <c r="D21" s="13">
        <f>'Master BOM'!E61</f>
        <v/>
      </c>
      <c r="E21" s="14">
        <f>'Master BOM'!F61</f>
        <v/>
      </c>
      <c r="F21" s="31">
        <f>'Master BOM'!G61</f>
        <v/>
      </c>
      <c r="G21" s="31">
        <f>'Master BOM'!L61</f>
        <v/>
      </c>
      <c r="H21" s="31">
        <f>'Master BOM'!M61</f>
        <v/>
      </c>
      <c r="I21" s="31">
        <f>'Master BOM'!N61</f>
        <v/>
      </c>
      <c r="J21" s="12">
        <f>'Master BOM'!O61</f>
        <v/>
      </c>
      <c r="K21" s="12">
        <f>'Master BOM'!P61</f>
        <v/>
      </c>
      <c r="L21" s="12">
        <f>'Master BOM'!Q61</f>
        <v/>
      </c>
      <c r="M21" s="12">
        <f>'Master BOM'!R61</f>
        <v/>
      </c>
      <c r="N21" s="13">
        <f>'Master BOM'!S61</f>
        <v/>
      </c>
    </row>
    <row r="22" ht="28" customHeight="1">
      <c r="A22" s="12">
        <f>'Master BOM'!A62</f>
        <v/>
      </c>
      <c r="B22" s="12">
        <f>'Master BOM'!C62</f>
        <v/>
      </c>
      <c r="C22" s="13">
        <f>'Master BOM'!D62</f>
        <v/>
      </c>
      <c r="D22" s="13">
        <f>'Master BOM'!E62</f>
        <v/>
      </c>
      <c r="E22" s="14">
        <f>'Master BOM'!F62</f>
        <v/>
      </c>
      <c r="F22" s="31">
        <f>'Master BOM'!G62</f>
        <v/>
      </c>
      <c r="G22" s="31">
        <f>'Master BOM'!L62</f>
        <v/>
      </c>
      <c r="H22" s="31">
        <f>'Master BOM'!M62</f>
        <v/>
      </c>
      <c r="I22" s="31">
        <f>'Master BOM'!N62</f>
        <v/>
      </c>
      <c r="J22" s="12">
        <f>'Master BOM'!O62</f>
        <v/>
      </c>
      <c r="K22" s="12">
        <f>'Master BOM'!P62</f>
        <v/>
      </c>
      <c r="L22" s="12">
        <f>'Master BOM'!Q62</f>
        <v/>
      </c>
      <c r="M22" s="12">
        <f>'Master BOM'!R62</f>
        <v/>
      </c>
      <c r="N22" s="13">
        <f>'Master BOM'!S62</f>
        <v/>
      </c>
    </row>
    <row r="23" ht="28" customHeight="1">
      <c r="A23" s="12">
        <f>'Master BOM'!A63</f>
        <v/>
      </c>
      <c r="B23" s="12">
        <f>'Master BOM'!C63</f>
        <v/>
      </c>
      <c r="C23" s="13">
        <f>'Master BOM'!D63</f>
        <v/>
      </c>
      <c r="D23" s="13">
        <f>'Master BOM'!E63</f>
        <v/>
      </c>
      <c r="E23" s="14">
        <f>'Master BOM'!F63</f>
        <v/>
      </c>
      <c r="F23" s="31">
        <f>'Master BOM'!G63</f>
        <v/>
      </c>
      <c r="G23" s="31">
        <f>'Master BOM'!L63</f>
        <v/>
      </c>
      <c r="H23" s="31">
        <f>'Master BOM'!M63</f>
        <v/>
      </c>
      <c r="I23" s="31">
        <f>'Master BOM'!N63</f>
        <v/>
      </c>
      <c r="J23" s="12">
        <f>'Master BOM'!O63</f>
        <v/>
      </c>
      <c r="K23" s="12">
        <f>'Master BOM'!P63</f>
        <v/>
      </c>
      <c r="L23" s="12">
        <f>'Master BOM'!Q63</f>
        <v/>
      </c>
      <c r="M23" s="12">
        <f>'Master BOM'!R63</f>
        <v/>
      </c>
      <c r="N23" s="13">
        <f>'Master BOM'!S63</f>
        <v/>
      </c>
    </row>
    <row r="24" ht="28" customHeight="1">
      <c r="A24" s="12">
        <f>'Master BOM'!A64</f>
        <v/>
      </c>
      <c r="B24" s="12">
        <f>'Master BOM'!C64</f>
        <v/>
      </c>
      <c r="C24" s="13">
        <f>'Master BOM'!D64</f>
        <v/>
      </c>
      <c r="D24" s="13">
        <f>'Master BOM'!E64</f>
        <v/>
      </c>
      <c r="E24" s="14">
        <f>'Master BOM'!F64</f>
        <v/>
      </c>
      <c r="F24" s="31">
        <f>'Master BOM'!G64</f>
        <v/>
      </c>
      <c r="G24" s="31">
        <f>'Master BOM'!L64</f>
        <v/>
      </c>
      <c r="H24" s="31">
        <f>'Master BOM'!M64</f>
        <v/>
      </c>
      <c r="I24" s="31">
        <f>'Master BOM'!N64</f>
        <v/>
      </c>
      <c r="J24" s="12">
        <f>'Master BOM'!O64</f>
        <v/>
      </c>
      <c r="K24" s="12">
        <f>'Master BOM'!P64</f>
        <v/>
      </c>
      <c r="L24" s="12">
        <f>'Master BOM'!Q64</f>
        <v/>
      </c>
      <c r="M24" s="12">
        <f>'Master BOM'!R64</f>
        <v/>
      </c>
      <c r="N24" s="13">
        <f>'Master BOM'!S64</f>
        <v/>
      </c>
    </row>
    <row r="25" ht="28" customHeight="1">
      <c r="A25" s="12">
        <f>'Master BOM'!A65</f>
        <v/>
      </c>
      <c r="B25" s="12">
        <f>'Master BOM'!C65</f>
        <v/>
      </c>
      <c r="C25" s="13">
        <f>'Master BOM'!D65</f>
        <v/>
      </c>
      <c r="D25" s="13">
        <f>'Master BOM'!E65</f>
        <v/>
      </c>
      <c r="E25" s="14">
        <f>'Master BOM'!F65</f>
        <v/>
      </c>
      <c r="F25" s="31">
        <f>'Master BOM'!G65</f>
        <v/>
      </c>
      <c r="G25" s="31">
        <f>'Master BOM'!L65</f>
        <v/>
      </c>
      <c r="H25" s="31">
        <f>'Master BOM'!M65</f>
        <v/>
      </c>
      <c r="I25" s="31">
        <f>'Master BOM'!N65</f>
        <v/>
      </c>
      <c r="J25" s="12">
        <f>'Master BOM'!O65</f>
        <v/>
      </c>
      <c r="K25" s="12">
        <f>'Master BOM'!P65</f>
        <v/>
      </c>
      <c r="L25" s="12">
        <f>'Master BOM'!Q65</f>
        <v/>
      </c>
      <c r="M25" s="12">
        <f>'Master BOM'!R65</f>
        <v/>
      </c>
      <c r="N25" s="13">
        <f>'Master BOM'!S65</f>
        <v/>
      </c>
    </row>
    <row r="26">
      <c r="A26" s="12">
        <f>'Master BOM'!A66</f>
        <v/>
      </c>
      <c r="B26" s="12">
        <f>'Master BOM'!C66</f>
        <v/>
      </c>
      <c r="C26" s="13">
        <f>'Master BOM'!D66</f>
        <v/>
      </c>
      <c r="D26" s="13">
        <f>'Master BOM'!E66</f>
        <v/>
      </c>
      <c r="E26" s="14">
        <f>'Master BOM'!F66</f>
        <v/>
      </c>
      <c r="F26" s="31">
        <f>'Master BOM'!G66</f>
        <v/>
      </c>
      <c r="G26" s="31">
        <f>'Master BOM'!L66</f>
        <v/>
      </c>
      <c r="H26" s="31">
        <f>'Master BOM'!M66</f>
        <v/>
      </c>
      <c r="I26" s="31">
        <f>'Master BOM'!N66</f>
        <v/>
      </c>
      <c r="J26" s="12">
        <f>'Master BOM'!O66</f>
        <v/>
      </c>
      <c r="K26" s="12">
        <f>'Master BOM'!P66</f>
        <v/>
      </c>
      <c r="L26" s="12">
        <f>'Master BOM'!Q66</f>
        <v/>
      </c>
      <c r="M26" s="12">
        <f>'Master BOM'!R66</f>
        <v/>
      </c>
      <c r="N26" s="13">
        <f>'Master BOM'!S66</f>
        <v/>
      </c>
    </row>
    <row r="27" ht="28" customHeight="1">
      <c r="A27" s="12">
        <f>'Master BOM'!A67</f>
        <v/>
      </c>
      <c r="B27" s="12">
        <f>'Master BOM'!C67</f>
        <v/>
      </c>
      <c r="C27" s="13">
        <f>'Master BOM'!D67</f>
        <v/>
      </c>
      <c r="D27" s="13">
        <f>'Master BOM'!E67</f>
        <v/>
      </c>
      <c r="E27" s="14">
        <f>'Master BOM'!F67</f>
        <v/>
      </c>
      <c r="F27" s="31">
        <f>'Master BOM'!G67</f>
        <v/>
      </c>
      <c r="G27" s="31">
        <f>'Master BOM'!L67</f>
        <v/>
      </c>
      <c r="H27" s="31">
        <f>'Master BOM'!M67</f>
        <v/>
      </c>
      <c r="I27" s="31">
        <f>'Master BOM'!N67</f>
        <v/>
      </c>
      <c r="J27" s="12">
        <f>'Master BOM'!O67</f>
        <v/>
      </c>
      <c r="K27" s="12">
        <f>'Master BOM'!P67</f>
        <v/>
      </c>
      <c r="L27" s="12">
        <f>'Master BOM'!Q67</f>
        <v/>
      </c>
      <c r="M27" s="12">
        <f>'Master BOM'!R67</f>
        <v/>
      </c>
      <c r="N27" s="13">
        <f>'Master BOM'!S67</f>
        <v/>
      </c>
    </row>
    <row r="28" ht="28" customHeight="1">
      <c r="A28" s="12">
        <f>'Master BOM'!A68</f>
        <v/>
      </c>
      <c r="B28" s="12">
        <f>'Master BOM'!C68</f>
        <v/>
      </c>
      <c r="C28" s="13">
        <f>'Master BOM'!D68</f>
        <v/>
      </c>
      <c r="D28" s="13">
        <f>'Master BOM'!E68</f>
        <v/>
      </c>
      <c r="E28" s="14">
        <f>'Master BOM'!F68</f>
        <v/>
      </c>
      <c r="F28" s="31">
        <f>'Master BOM'!G68</f>
        <v/>
      </c>
      <c r="G28" s="31">
        <f>'Master BOM'!L68</f>
        <v/>
      </c>
      <c r="H28" s="31">
        <f>'Master BOM'!M68</f>
        <v/>
      </c>
      <c r="I28" s="31">
        <f>'Master BOM'!N68</f>
        <v/>
      </c>
      <c r="J28" s="12">
        <f>'Master BOM'!O68</f>
        <v/>
      </c>
      <c r="K28" s="12">
        <f>'Master BOM'!P68</f>
        <v/>
      </c>
      <c r="L28" s="12">
        <f>'Master BOM'!Q68</f>
        <v/>
      </c>
      <c r="M28" s="12">
        <f>'Master BOM'!R68</f>
        <v/>
      </c>
      <c r="N28" s="13">
        <f>'Master BOM'!S68</f>
        <v/>
      </c>
    </row>
    <row r="30">
      <c r="C30" s="19" t="inlineStr">
        <is>
          <t>ROLE TOTAL</t>
        </is>
      </c>
      <c r="G30" s="20">
        <f>SUM(G6:G28)</f>
        <v/>
      </c>
      <c r="H30" s="20">
        <f>SUM(H6:H28)</f>
        <v/>
      </c>
      <c r="I30" s="20">
        <f>SUM(I6:I28)</f>
        <v/>
      </c>
    </row>
    <row r="32">
      <c r="C32"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N21"/>
  <sheetViews>
    <sheetView zoomScaleNormal="100" workbookViewId="0">
      <pane xSplit="2" ySplit="6" topLeftCell="C7" activePane="bottomRight" state="frozen"/>
      <selection pane="topRight" activeCell="C1" sqref="C1"/>
      <selection pane="bottomLeft" activeCell="A7" sqref="A7"/>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Mech/EE Interface — UNASSIGNED (DSO coordinates)</t>
        </is>
      </c>
    </row>
    <row r="2">
      <c r="A2" s="10" t="inlineStr">
        <is>
          <t>Responsibilities: Steering actuator + EBS hardware. No owner on the org chart — see README gap flag</t>
        </is>
      </c>
    </row>
    <row r="3">
      <c r="A3" s="10" t="inlineStr">
        <is>
          <t>All values pull live from 'Master BOM'. Edit costs there, not here.</t>
        </is>
      </c>
    </row>
    <row r="4" ht="30" customHeight="1">
      <c r="A4" s="32" t="inlineStr">
        <is>
          <t>OWNERSHIP GAP: no box on the org chart owns this work. DSO owns integration across mech and sparkies and has final say on safety and rules compliance, so these items sit here until a named owner exists. These are the two most common causes of failing DV technical inspection.</t>
        </is>
      </c>
    </row>
    <row r="6" ht="31.5" customHeight="1">
      <c r="A6" s="11" t="inlineStr">
        <is>
          <t>ID</t>
        </is>
      </c>
      <c r="B6" s="11" t="inlineStr">
        <is>
          <t>Category</t>
        </is>
      </c>
      <c r="C6" s="11" t="inlineStr">
        <is>
          <t>Item / Purpose</t>
        </is>
      </c>
      <c r="D6" s="11" t="inlineStr">
        <is>
          <t>Recommended Model / Spec</t>
        </is>
      </c>
      <c r="E6" s="11" t="inlineStr">
        <is>
          <t>Qty</t>
        </is>
      </c>
      <c r="F6" s="11" t="inlineStr">
        <is>
          <t>Unit Cost (USD)</t>
        </is>
      </c>
      <c r="G6" s="11" t="inlineStr">
        <is>
          <t>Tier 1 ($)</t>
        </is>
      </c>
      <c r="H6" s="11" t="inlineStr">
        <is>
          <t>Tier 2 ($)</t>
        </is>
      </c>
      <c r="I6" s="11" t="inlineStr">
        <is>
          <t>Tier 3 ($)</t>
        </is>
      </c>
      <c r="J6" s="11" t="inlineStr">
        <is>
          <t>Priority</t>
        </is>
      </c>
      <c r="K6" s="11" t="inlineStr">
        <is>
          <t>Lead Time</t>
        </is>
      </c>
      <c r="L6" s="11" t="inlineStr">
        <is>
          <t>Sponsorable?</t>
        </is>
      </c>
      <c r="M6" s="11" t="inlineStr">
        <is>
          <t>Rules Ref</t>
        </is>
      </c>
      <c r="N6" s="11" t="inlineStr">
        <is>
          <t>Notes / Rationale</t>
        </is>
      </c>
    </row>
    <row r="7" ht="28" customHeight="1">
      <c r="A7" s="12">
        <f>'Master BOM'!A69</f>
        <v/>
      </c>
      <c r="B7" s="12">
        <f>'Master BOM'!C69</f>
        <v/>
      </c>
      <c r="C7" s="13">
        <f>'Master BOM'!D69</f>
        <v/>
      </c>
      <c r="D7" s="13">
        <f>'Master BOM'!E69</f>
        <v/>
      </c>
      <c r="E7" s="14">
        <f>'Master BOM'!F69</f>
        <v/>
      </c>
      <c r="F7" s="31">
        <f>'Master BOM'!G69</f>
        <v/>
      </c>
      <c r="G7" s="31">
        <f>'Master BOM'!L69</f>
        <v/>
      </c>
      <c r="H7" s="31">
        <f>'Master BOM'!M69</f>
        <v/>
      </c>
      <c r="I7" s="31">
        <f>'Master BOM'!N69</f>
        <v/>
      </c>
      <c r="J7" s="12">
        <f>'Master BOM'!O69</f>
        <v/>
      </c>
      <c r="K7" s="12">
        <f>'Master BOM'!P69</f>
        <v/>
      </c>
      <c r="L7" s="12">
        <f>'Master BOM'!Q69</f>
        <v/>
      </c>
      <c r="M7" s="12">
        <f>'Master BOM'!R69</f>
        <v/>
      </c>
      <c r="N7" s="13">
        <f>'Master BOM'!S69</f>
        <v/>
      </c>
    </row>
    <row r="8" ht="28" customHeight="1">
      <c r="A8" s="12">
        <f>'Master BOM'!A70</f>
        <v/>
      </c>
      <c r="B8" s="12">
        <f>'Master BOM'!C70</f>
        <v/>
      </c>
      <c r="C8" s="13">
        <f>'Master BOM'!D70</f>
        <v/>
      </c>
      <c r="D8" s="13">
        <f>'Master BOM'!E70</f>
        <v/>
      </c>
      <c r="E8" s="14">
        <f>'Master BOM'!F70</f>
        <v/>
      </c>
      <c r="F8" s="31">
        <f>'Master BOM'!G70</f>
        <v/>
      </c>
      <c r="G8" s="31">
        <f>'Master BOM'!L70</f>
        <v/>
      </c>
      <c r="H8" s="31">
        <f>'Master BOM'!M70</f>
        <v/>
      </c>
      <c r="I8" s="31">
        <f>'Master BOM'!N70</f>
        <v/>
      </c>
      <c r="J8" s="12">
        <f>'Master BOM'!O70</f>
        <v/>
      </c>
      <c r="K8" s="12">
        <f>'Master BOM'!P70</f>
        <v/>
      </c>
      <c r="L8" s="12">
        <f>'Master BOM'!Q70</f>
        <v/>
      </c>
      <c r="M8" s="12">
        <f>'Master BOM'!R70</f>
        <v/>
      </c>
      <c r="N8" s="13">
        <f>'Master BOM'!S70</f>
        <v/>
      </c>
    </row>
    <row r="9" ht="28" customHeight="1">
      <c r="A9" s="12">
        <f>'Master BOM'!A71</f>
        <v/>
      </c>
      <c r="B9" s="12">
        <f>'Master BOM'!C71</f>
        <v/>
      </c>
      <c r="C9" s="13">
        <f>'Master BOM'!D71</f>
        <v/>
      </c>
      <c r="D9" s="13">
        <f>'Master BOM'!E71</f>
        <v/>
      </c>
      <c r="E9" s="14">
        <f>'Master BOM'!F71</f>
        <v/>
      </c>
      <c r="F9" s="31">
        <f>'Master BOM'!G71</f>
        <v/>
      </c>
      <c r="G9" s="31">
        <f>'Master BOM'!L71</f>
        <v/>
      </c>
      <c r="H9" s="31">
        <f>'Master BOM'!M71</f>
        <v/>
      </c>
      <c r="I9" s="31">
        <f>'Master BOM'!N71</f>
        <v/>
      </c>
      <c r="J9" s="12">
        <f>'Master BOM'!O71</f>
        <v/>
      </c>
      <c r="K9" s="12">
        <f>'Master BOM'!P71</f>
        <v/>
      </c>
      <c r="L9" s="12">
        <f>'Master BOM'!Q71</f>
        <v/>
      </c>
      <c r="M9" s="12">
        <f>'Master BOM'!R71</f>
        <v/>
      </c>
      <c r="N9" s="13">
        <f>'Master BOM'!S71</f>
        <v/>
      </c>
    </row>
    <row r="10" ht="28" customHeight="1">
      <c r="A10" s="12">
        <f>'Master BOM'!A72</f>
        <v/>
      </c>
      <c r="B10" s="12">
        <f>'Master BOM'!C72</f>
        <v/>
      </c>
      <c r="C10" s="13">
        <f>'Master BOM'!D72</f>
        <v/>
      </c>
      <c r="D10" s="13">
        <f>'Master BOM'!E72</f>
        <v/>
      </c>
      <c r="E10" s="14">
        <f>'Master BOM'!F72</f>
        <v/>
      </c>
      <c r="F10" s="31">
        <f>'Master BOM'!G72</f>
        <v/>
      </c>
      <c r="G10" s="31">
        <f>'Master BOM'!L72</f>
        <v/>
      </c>
      <c r="H10" s="31">
        <f>'Master BOM'!M72</f>
        <v/>
      </c>
      <c r="I10" s="31">
        <f>'Master BOM'!N72</f>
        <v/>
      </c>
      <c r="J10" s="12">
        <f>'Master BOM'!O72</f>
        <v/>
      </c>
      <c r="K10" s="12">
        <f>'Master BOM'!P72</f>
        <v/>
      </c>
      <c r="L10" s="12">
        <f>'Master BOM'!Q72</f>
        <v/>
      </c>
      <c r="M10" s="12">
        <f>'Master BOM'!R72</f>
        <v/>
      </c>
      <c r="N10" s="13">
        <f>'Master BOM'!S72</f>
        <v/>
      </c>
    </row>
    <row r="11" ht="28" customHeight="1">
      <c r="A11" s="12">
        <f>'Master BOM'!A73</f>
        <v/>
      </c>
      <c r="B11" s="12">
        <f>'Master BOM'!C73</f>
        <v/>
      </c>
      <c r="C11" s="13">
        <f>'Master BOM'!D73</f>
        <v/>
      </c>
      <c r="D11" s="13">
        <f>'Master BOM'!E73</f>
        <v/>
      </c>
      <c r="E11" s="14">
        <f>'Master BOM'!F73</f>
        <v/>
      </c>
      <c r="F11" s="31">
        <f>'Master BOM'!G73</f>
        <v/>
      </c>
      <c r="G11" s="31">
        <f>'Master BOM'!L73</f>
        <v/>
      </c>
      <c r="H11" s="31">
        <f>'Master BOM'!M73</f>
        <v/>
      </c>
      <c r="I11" s="31">
        <f>'Master BOM'!N73</f>
        <v/>
      </c>
      <c r="J11" s="12">
        <f>'Master BOM'!O73</f>
        <v/>
      </c>
      <c r="K11" s="12">
        <f>'Master BOM'!P73</f>
        <v/>
      </c>
      <c r="L11" s="12">
        <f>'Master BOM'!Q73</f>
        <v/>
      </c>
      <c r="M11" s="12">
        <f>'Master BOM'!R73</f>
        <v/>
      </c>
      <c r="N11" s="13">
        <f>'Master BOM'!S73</f>
        <v/>
      </c>
    </row>
    <row r="12" ht="28" customHeight="1">
      <c r="A12" s="12">
        <f>'Master BOM'!A74</f>
        <v/>
      </c>
      <c r="B12" s="12">
        <f>'Master BOM'!C74</f>
        <v/>
      </c>
      <c r="C12" s="13">
        <f>'Master BOM'!D74</f>
        <v/>
      </c>
      <c r="D12" s="13">
        <f>'Master BOM'!E74</f>
        <v/>
      </c>
      <c r="E12" s="14">
        <f>'Master BOM'!F74</f>
        <v/>
      </c>
      <c r="F12" s="31">
        <f>'Master BOM'!G74</f>
        <v/>
      </c>
      <c r="G12" s="31">
        <f>'Master BOM'!L74</f>
        <v/>
      </c>
      <c r="H12" s="31">
        <f>'Master BOM'!M74</f>
        <v/>
      </c>
      <c r="I12" s="31">
        <f>'Master BOM'!N74</f>
        <v/>
      </c>
      <c r="J12" s="12">
        <f>'Master BOM'!O74</f>
        <v/>
      </c>
      <c r="K12" s="12">
        <f>'Master BOM'!P74</f>
        <v/>
      </c>
      <c r="L12" s="12">
        <f>'Master BOM'!Q74</f>
        <v/>
      </c>
      <c r="M12" s="12">
        <f>'Master BOM'!R74</f>
        <v/>
      </c>
      <c r="N12" s="13">
        <f>'Master BOM'!S74</f>
        <v/>
      </c>
    </row>
    <row r="13" ht="28" customHeight="1">
      <c r="A13" s="12">
        <f>'Master BOM'!A75</f>
        <v/>
      </c>
      <c r="B13" s="12">
        <f>'Master BOM'!C75</f>
        <v/>
      </c>
      <c r="C13" s="13">
        <f>'Master BOM'!D75</f>
        <v/>
      </c>
      <c r="D13" s="13">
        <f>'Master BOM'!E75</f>
        <v/>
      </c>
      <c r="E13" s="14">
        <f>'Master BOM'!F75</f>
        <v/>
      </c>
      <c r="F13" s="31">
        <f>'Master BOM'!G75</f>
        <v/>
      </c>
      <c r="G13" s="31">
        <f>'Master BOM'!L75</f>
        <v/>
      </c>
      <c r="H13" s="31">
        <f>'Master BOM'!M75</f>
        <v/>
      </c>
      <c r="I13" s="31">
        <f>'Master BOM'!N75</f>
        <v/>
      </c>
      <c r="J13" s="12">
        <f>'Master BOM'!O75</f>
        <v/>
      </c>
      <c r="K13" s="12">
        <f>'Master BOM'!P75</f>
        <v/>
      </c>
      <c r="L13" s="12">
        <f>'Master BOM'!Q75</f>
        <v/>
      </c>
      <c r="M13" s="12">
        <f>'Master BOM'!R75</f>
        <v/>
      </c>
      <c r="N13" s="13">
        <f>'Master BOM'!S75</f>
        <v/>
      </c>
    </row>
    <row r="14" ht="28" customHeight="1">
      <c r="A14" s="12">
        <f>'Master BOM'!A76</f>
        <v/>
      </c>
      <c r="B14" s="12">
        <f>'Master BOM'!C76</f>
        <v/>
      </c>
      <c r="C14" s="13">
        <f>'Master BOM'!D76</f>
        <v/>
      </c>
      <c r="D14" s="13">
        <f>'Master BOM'!E76</f>
        <v/>
      </c>
      <c r="E14" s="14">
        <f>'Master BOM'!F76</f>
        <v/>
      </c>
      <c r="F14" s="31">
        <f>'Master BOM'!G76</f>
        <v/>
      </c>
      <c r="G14" s="31">
        <f>'Master BOM'!L76</f>
        <v/>
      </c>
      <c r="H14" s="31">
        <f>'Master BOM'!M76</f>
        <v/>
      </c>
      <c r="I14" s="31">
        <f>'Master BOM'!N76</f>
        <v/>
      </c>
      <c r="J14" s="12">
        <f>'Master BOM'!O76</f>
        <v/>
      </c>
      <c r="K14" s="12">
        <f>'Master BOM'!P76</f>
        <v/>
      </c>
      <c r="L14" s="12">
        <f>'Master BOM'!Q76</f>
        <v/>
      </c>
      <c r="M14" s="12">
        <f>'Master BOM'!R76</f>
        <v/>
      </c>
      <c r="N14" s="13">
        <f>'Master BOM'!S76</f>
        <v/>
      </c>
    </row>
    <row r="15" ht="28" customHeight="1">
      <c r="A15" s="12">
        <f>'Master BOM'!A77</f>
        <v/>
      </c>
      <c r="B15" s="12">
        <f>'Master BOM'!C77</f>
        <v/>
      </c>
      <c r="C15" s="13">
        <f>'Master BOM'!D77</f>
        <v/>
      </c>
      <c r="D15" s="13">
        <f>'Master BOM'!E77</f>
        <v/>
      </c>
      <c r="E15" s="14">
        <f>'Master BOM'!F77</f>
        <v/>
      </c>
      <c r="F15" s="31">
        <f>'Master BOM'!G77</f>
        <v/>
      </c>
      <c r="G15" s="31">
        <f>'Master BOM'!L77</f>
        <v/>
      </c>
      <c r="H15" s="31">
        <f>'Master BOM'!M77</f>
        <v/>
      </c>
      <c r="I15" s="31">
        <f>'Master BOM'!N77</f>
        <v/>
      </c>
      <c r="J15" s="12">
        <f>'Master BOM'!O77</f>
        <v/>
      </c>
      <c r="K15" s="12">
        <f>'Master BOM'!P77</f>
        <v/>
      </c>
      <c r="L15" s="12">
        <f>'Master BOM'!Q77</f>
        <v/>
      </c>
      <c r="M15" s="12">
        <f>'Master BOM'!R77</f>
        <v/>
      </c>
      <c r="N15" s="13">
        <f>'Master BOM'!S77</f>
        <v/>
      </c>
    </row>
    <row r="16" ht="28" customHeight="1">
      <c r="A16" s="12">
        <f>'Master BOM'!A78</f>
        <v/>
      </c>
      <c r="B16" s="12">
        <f>'Master BOM'!C78</f>
        <v/>
      </c>
      <c r="C16" s="13">
        <f>'Master BOM'!D78</f>
        <v/>
      </c>
      <c r="D16" s="13">
        <f>'Master BOM'!E78</f>
        <v/>
      </c>
      <c r="E16" s="14">
        <f>'Master BOM'!F78</f>
        <v/>
      </c>
      <c r="F16" s="31">
        <f>'Master BOM'!G78</f>
        <v/>
      </c>
      <c r="G16" s="31">
        <f>'Master BOM'!L78</f>
        <v/>
      </c>
      <c r="H16" s="31">
        <f>'Master BOM'!M78</f>
        <v/>
      </c>
      <c r="I16" s="31">
        <f>'Master BOM'!N78</f>
        <v/>
      </c>
      <c r="J16" s="12">
        <f>'Master BOM'!O78</f>
        <v/>
      </c>
      <c r="K16" s="12">
        <f>'Master BOM'!P78</f>
        <v/>
      </c>
      <c r="L16" s="12">
        <f>'Master BOM'!Q78</f>
        <v/>
      </c>
      <c r="M16" s="12">
        <f>'Master BOM'!R78</f>
        <v/>
      </c>
      <c r="N16" s="13">
        <f>'Master BOM'!S78</f>
        <v/>
      </c>
    </row>
    <row r="17" ht="28" customHeight="1">
      <c r="A17" s="12">
        <f>'Master BOM'!A79</f>
        <v/>
      </c>
      <c r="B17" s="12">
        <f>'Master BOM'!C79</f>
        <v/>
      </c>
      <c r="C17" s="13">
        <f>'Master BOM'!D79</f>
        <v/>
      </c>
      <c r="D17" s="13">
        <f>'Master BOM'!E79</f>
        <v/>
      </c>
      <c r="E17" s="14">
        <f>'Master BOM'!F79</f>
        <v/>
      </c>
      <c r="F17" s="31">
        <f>'Master BOM'!G79</f>
        <v/>
      </c>
      <c r="G17" s="31">
        <f>'Master BOM'!L79</f>
        <v/>
      </c>
      <c r="H17" s="31">
        <f>'Master BOM'!M79</f>
        <v/>
      </c>
      <c r="I17" s="31">
        <f>'Master BOM'!N79</f>
        <v/>
      </c>
      <c r="J17" s="12">
        <f>'Master BOM'!O79</f>
        <v/>
      </c>
      <c r="K17" s="12">
        <f>'Master BOM'!P79</f>
        <v/>
      </c>
      <c r="L17" s="12">
        <f>'Master BOM'!Q79</f>
        <v/>
      </c>
      <c r="M17" s="12">
        <f>'Master BOM'!R79</f>
        <v/>
      </c>
      <c r="N17" s="13">
        <f>'Master BOM'!S79</f>
        <v/>
      </c>
    </row>
    <row r="19">
      <c r="C19" s="19" t="inlineStr">
        <is>
          <t>ROLE TOTAL</t>
        </is>
      </c>
      <c r="G19" s="20">
        <f>SUM(G7:G17)</f>
        <v/>
      </c>
      <c r="H19" s="20">
        <f>SUM(H7:H17)</f>
        <v/>
      </c>
      <c r="I19" s="20">
        <f>SUM(I7:I17)</f>
        <v/>
      </c>
    </row>
    <row r="21">
      <c r="C21"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N29"/>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Testing — Evan</t>
        </is>
      </c>
    </row>
    <row r="2">
      <c r="A2" s="10" t="inlineStr">
        <is>
          <t>Responsibilities: Development methodology, test strategy, unit/integration/HIL/regression, CI/CD, KPI baselines, failure-mode docs</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42" customHeight="1">
      <c r="A6" s="12">
        <f>'Master BOM'!A80</f>
        <v/>
      </c>
      <c r="B6" s="12">
        <f>'Master BOM'!C80</f>
        <v/>
      </c>
      <c r="C6" s="13">
        <f>'Master BOM'!D80</f>
        <v/>
      </c>
      <c r="D6" s="13">
        <f>'Master BOM'!E80</f>
        <v/>
      </c>
      <c r="E6" s="14">
        <f>'Master BOM'!F80</f>
        <v/>
      </c>
      <c r="F6" s="31">
        <f>'Master BOM'!G80</f>
        <v/>
      </c>
      <c r="G6" s="31">
        <f>'Master BOM'!L80</f>
        <v/>
      </c>
      <c r="H6" s="31">
        <f>'Master BOM'!M80</f>
        <v/>
      </c>
      <c r="I6" s="31">
        <f>'Master BOM'!N80</f>
        <v/>
      </c>
      <c r="J6" s="12">
        <f>'Master BOM'!O80</f>
        <v/>
      </c>
      <c r="K6" s="12">
        <f>'Master BOM'!P80</f>
        <v/>
      </c>
      <c r="L6" s="12">
        <f>'Master BOM'!Q80</f>
        <v/>
      </c>
      <c r="M6" s="12">
        <f>'Master BOM'!R80</f>
        <v/>
      </c>
      <c r="N6" s="13">
        <f>'Master BOM'!S80</f>
        <v/>
      </c>
    </row>
    <row r="7" ht="28" customHeight="1">
      <c r="A7" s="12">
        <f>'Master BOM'!A81</f>
        <v/>
      </c>
      <c r="B7" s="12">
        <f>'Master BOM'!C81</f>
        <v/>
      </c>
      <c r="C7" s="13">
        <f>'Master BOM'!D81</f>
        <v/>
      </c>
      <c r="D7" s="13">
        <f>'Master BOM'!E81</f>
        <v/>
      </c>
      <c r="E7" s="14">
        <f>'Master BOM'!F81</f>
        <v/>
      </c>
      <c r="F7" s="31">
        <f>'Master BOM'!G81</f>
        <v/>
      </c>
      <c r="G7" s="31">
        <f>'Master BOM'!L81</f>
        <v/>
      </c>
      <c r="H7" s="31">
        <f>'Master BOM'!M81</f>
        <v/>
      </c>
      <c r="I7" s="31">
        <f>'Master BOM'!N81</f>
        <v/>
      </c>
      <c r="J7" s="12">
        <f>'Master BOM'!O81</f>
        <v/>
      </c>
      <c r="K7" s="12">
        <f>'Master BOM'!P81</f>
        <v/>
      </c>
      <c r="L7" s="12">
        <f>'Master BOM'!Q81</f>
        <v/>
      </c>
      <c r="M7" s="12">
        <f>'Master BOM'!R81</f>
        <v/>
      </c>
      <c r="N7" s="13">
        <f>'Master BOM'!S81</f>
        <v/>
      </c>
    </row>
    <row r="8" ht="28" customHeight="1">
      <c r="A8" s="12">
        <f>'Master BOM'!A82</f>
        <v/>
      </c>
      <c r="B8" s="12">
        <f>'Master BOM'!C82</f>
        <v/>
      </c>
      <c r="C8" s="13">
        <f>'Master BOM'!D82</f>
        <v/>
      </c>
      <c r="D8" s="13">
        <f>'Master BOM'!E82</f>
        <v/>
      </c>
      <c r="E8" s="14">
        <f>'Master BOM'!F82</f>
        <v/>
      </c>
      <c r="F8" s="31">
        <f>'Master BOM'!G82</f>
        <v/>
      </c>
      <c r="G8" s="31">
        <f>'Master BOM'!L82</f>
        <v/>
      </c>
      <c r="H8" s="31">
        <f>'Master BOM'!M82</f>
        <v/>
      </c>
      <c r="I8" s="31">
        <f>'Master BOM'!N82</f>
        <v/>
      </c>
      <c r="J8" s="12">
        <f>'Master BOM'!O82</f>
        <v/>
      </c>
      <c r="K8" s="12">
        <f>'Master BOM'!P82</f>
        <v/>
      </c>
      <c r="L8" s="12">
        <f>'Master BOM'!Q82</f>
        <v/>
      </c>
      <c r="M8" s="12">
        <f>'Master BOM'!R82</f>
        <v/>
      </c>
      <c r="N8" s="13">
        <f>'Master BOM'!S82</f>
        <v/>
      </c>
    </row>
    <row r="9" ht="28" customHeight="1">
      <c r="A9" s="12">
        <f>'Master BOM'!A83</f>
        <v/>
      </c>
      <c r="B9" s="12">
        <f>'Master BOM'!C83</f>
        <v/>
      </c>
      <c r="C9" s="13">
        <f>'Master BOM'!D83</f>
        <v/>
      </c>
      <c r="D9" s="13">
        <f>'Master BOM'!E83</f>
        <v/>
      </c>
      <c r="E9" s="14">
        <f>'Master BOM'!F83</f>
        <v/>
      </c>
      <c r="F9" s="31">
        <f>'Master BOM'!G83</f>
        <v/>
      </c>
      <c r="G9" s="31">
        <f>'Master BOM'!L83</f>
        <v/>
      </c>
      <c r="H9" s="31">
        <f>'Master BOM'!M83</f>
        <v/>
      </c>
      <c r="I9" s="31">
        <f>'Master BOM'!N83</f>
        <v/>
      </c>
      <c r="J9" s="12">
        <f>'Master BOM'!O83</f>
        <v/>
      </c>
      <c r="K9" s="12">
        <f>'Master BOM'!P83</f>
        <v/>
      </c>
      <c r="L9" s="12">
        <f>'Master BOM'!Q83</f>
        <v/>
      </c>
      <c r="M9" s="12">
        <f>'Master BOM'!R83</f>
        <v/>
      </c>
      <c r="N9" s="13">
        <f>'Master BOM'!S83</f>
        <v/>
      </c>
    </row>
    <row r="10" ht="42" customHeight="1">
      <c r="A10" s="12">
        <f>'Master BOM'!A84</f>
        <v/>
      </c>
      <c r="B10" s="12">
        <f>'Master BOM'!C84</f>
        <v/>
      </c>
      <c r="C10" s="13">
        <f>'Master BOM'!D84</f>
        <v/>
      </c>
      <c r="D10" s="13">
        <f>'Master BOM'!E84</f>
        <v/>
      </c>
      <c r="E10" s="14">
        <f>'Master BOM'!F84</f>
        <v/>
      </c>
      <c r="F10" s="31">
        <f>'Master BOM'!G84</f>
        <v/>
      </c>
      <c r="G10" s="31">
        <f>'Master BOM'!L84</f>
        <v/>
      </c>
      <c r="H10" s="31">
        <f>'Master BOM'!M84</f>
        <v/>
      </c>
      <c r="I10" s="31">
        <f>'Master BOM'!N84</f>
        <v/>
      </c>
      <c r="J10" s="12">
        <f>'Master BOM'!O84</f>
        <v/>
      </c>
      <c r="K10" s="12">
        <f>'Master BOM'!P84</f>
        <v/>
      </c>
      <c r="L10" s="12">
        <f>'Master BOM'!Q84</f>
        <v/>
      </c>
      <c r="M10" s="12">
        <f>'Master BOM'!R84</f>
        <v/>
      </c>
      <c r="N10" s="13">
        <f>'Master BOM'!S84</f>
        <v/>
      </c>
    </row>
    <row r="11" ht="28" customHeight="1">
      <c r="A11" s="12">
        <f>'Master BOM'!A85</f>
        <v/>
      </c>
      <c r="B11" s="12">
        <f>'Master BOM'!C85</f>
        <v/>
      </c>
      <c r="C11" s="13">
        <f>'Master BOM'!D85</f>
        <v/>
      </c>
      <c r="D11" s="13">
        <f>'Master BOM'!E85</f>
        <v/>
      </c>
      <c r="E11" s="14">
        <f>'Master BOM'!F85</f>
        <v/>
      </c>
      <c r="F11" s="31">
        <f>'Master BOM'!G85</f>
        <v/>
      </c>
      <c r="G11" s="31">
        <f>'Master BOM'!L85</f>
        <v/>
      </c>
      <c r="H11" s="31">
        <f>'Master BOM'!M85</f>
        <v/>
      </c>
      <c r="I11" s="31">
        <f>'Master BOM'!N85</f>
        <v/>
      </c>
      <c r="J11" s="12">
        <f>'Master BOM'!O85</f>
        <v/>
      </c>
      <c r="K11" s="12">
        <f>'Master BOM'!P85</f>
        <v/>
      </c>
      <c r="L11" s="12">
        <f>'Master BOM'!Q85</f>
        <v/>
      </c>
      <c r="M11" s="12">
        <f>'Master BOM'!R85</f>
        <v/>
      </c>
      <c r="N11" s="13">
        <f>'Master BOM'!S85</f>
        <v/>
      </c>
    </row>
    <row r="12" ht="28" customHeight="1">
      <c r="A12" s="12">
        <f>'Master BOM'!A86</f>
        <v/>
      </c>
      <c r="B12" s="12">
        <f>'Master BOM'!C86</f>
        <v/>
      </c>
      <c r="C12" s="13">
        <f>'Master BOM'!D86</f>
        <v/>
      </c>
      <c r="D12" s="13">
        <f>'Master BOM'!E86</f>
        <v/>
      </c>
      <c r="E12" s="14">
        <f>'Master BOM'!F86</f>
        <v/>
      </c>
      <c r="F12" s="31">
        <f>'Master BOM'!G86</f>
        <v/>
      </c>
      <c r="G12" s="31">
        <f>'Master BOM'!L86</f>
        <v/>
      </c>
      <c r="H12" s="31">
        <f>'Master BOM'!M86</f>
        <v/>
      </c>
      <c r="I12" s="31">
        <f>'Master BOM'!N86</f>
        <v/>
      </c>
      <c r="J12" s="12">
        <f>'Master BOM'!O86</f>
        <v/>
      </c>
      <c r="K12" s="12">
        <f>'Master BOM'!P86</f>
        <v/>
      </c>
      <c r="L12" s="12">
        <f>'Master BOM'!Q86</f>
        <v/>
      </c>
      <c r="M12" s="12">
        <f>'Master BOM'!R86</f>
        <v/>
      </c>
      <c r="N12" s="13">
        <f>'Master BOM'!S86</f>
        <v/>
      </c>
    </row>
    <row r="13">
      <c r="A13" s="12">
        <f>'Master BOM'!A87</f>
        <v/>
      </c>
      <c r="B13" s="12">
        <f>'Master BOM'!C87</f>
        <v/>
      </c>
      <c r="C13" s="13">
        <f>'Master BOM'!D87</f>
        <v/>
      </c>
      <c r="D13" s="13">
        <f>'Master BOM'!E87</f>
        <v/>
      </c>
      <c r="E13" s="14">
        <f>'Master BOM'!F87</f>
        <v/>
      </c>
      <c r="F13" s="31">
        <f>'Master BOM'!G87</f>
        <v/>
      </c>
      <c r="G13" s="31">
        <f>'Master BOM'!L87</f>
        <v/>
      </c>
      <c r="H13" s="31">
        <f>'Master BOM'!M87</f>
        <v/>
      </c>
      <c r="I13" s="31">
        <f>'Master BOM'!N87</f>
        <v/>
      </c>
      <c r="J13" s="12">
        <f>'Master BOM'!O87</f>
        <v/>
      </c>
      <c r="K13" s="12">
        <f>'Master BOM'!P87</f>
        <v/>
      </c>
      <c r="L13" s="12">
        <f>'Master BOM'!Q87</f>
        <v/>
      </c>
      <c r="M13" s="12">
        <f>'Master BOM'!R87</f>
        <v/>
      </c>
      <c r="N13" s="13">
        <f>'Master BOM'!S87</f>
        <v/>
      </c>
    </row>
    <row r="14" ht="28" customHeight="1">
      <c r="A14" s="12">
        <f>'Master BOM'!A88</f>
        <v/>
      </c>
      <c r="B14" s="12">
        <f>'Master BOM'!C88</f>
        <v/>
      </c>
      <c r="C14" s="13">
        <f>'Master BOM'!D88</f>
        <v/>
      </c>
      <c r="D14" s="13">
        <f>'Master BOM'!E88</f>
        <v/>
      </c>
      <c r="E14" s="14">
        <f>'Master BOM'!F88</f>
        <v/>
      </c>
      <c r="F14" s="31">
        <f>'Master BOM'!G88</f>
        <v/>
      </c>
      <c r="G14" s="31">
        <f>'Master BOM'!L88</f>
        <v/>
      </c>
      <c r="H14" s="31">
        <f>'Master BOM'!M88</f>
        <v/>
      </c>
      <c r="I14" s="31">
        <f>'Master BOM'!N88</f>
        <v/>
      </c>
      <c r="J14" s="12">
        <f>'Master BOM'!O88</f>
        <v/>
      </c>
      <c r="K14" s="12">
        <f>'Master BOM'!P88</f>
        <v/>
      </c>
      <c r="L14" s="12">
        <f>'Master BOM'!Q88</f>
        <v/>
      </c>
      <c r="M14" s="12">
        <f>'Master BOM'!R88</f>
        <v/>
      </c>
      <c r="N14" s="13">
        <f>'Master BOM'!S88</f>
        <v/>
      </c>
    </row>
    <row r="15" ht="28" customHeight="1">
      <c r="A15" s="12">
        <f>'Master BOM'!A89</f>
        <v/>
      </c>
      <c r="B15" s="12">
        <f>'Master BOM'!C89</f>
        <v/>
      </c>
      <c r="C15" s="13">
        <f>'Master BOM'!D89</f>
        <v/>
      </c>
      <c r="D15" s="13">
        <f>'Master BOM'!E89</f>
        <v/>
      </c>
      <c r="E15" s="14">
        <f>'Master BOM'!F89</f>
        <v/>
      </c>
      <c r="F15" s="31">
        <f>'Master BOM'!G89</f>
        <v/>
      </c>
      <c r="G15" s="31">
        <f>'Master BOM'!L89</f>
        <v/>
      </c>
      <c r="H15" s="31">
        <f>'Master BOM'!M89</f>
        <v/>
      </c>
      <c r="I15" s="31">
        <f>'Master BOM'!N89</f>
        <v/>
      </c>
      <c r="J15" s="12">
        <f>'Master BOM'!O89</f>
        <v/>
      </c>
      <c r="K15" s="12">
        <f>'Master BOM'!P89</f>
        <v/>
      </c>
      <c r="L15" s="12">
        <f>'Master BOM'!Q89</f>
        <v/>
      </c>
      <c r="M15" s="12">
        <f>'Master BOM'!R89</f>
        <v/>
      </c>
      <c r="N15" s="13">
        <f>'Master BOM'!S89</f>
        <v/>
      </c>
    </row>
    <row r="16" ht="28" customHeight="1">
      <c r="A16" s="12">
        <f>'Master BOM'!A90</f>
        <v/>
      </c>
      <c r="B16" s="12">
        <f>'Master BOM'!C90</f>
        <v/>
      </c>
      <c r="C16" s="13">
        <f>'Master BOM'!D90</f>
        <v/>
      </c>
      <c r="D16" s="13">
        <f>'Master BOM'!E90</f>
        <v/>
      </c>
      <c r="E16" s="14">
        <f>'Master BOM'!F90</f>
        <v/>
      </c>
      <c r="F16" s="31">
        <f>'Master BOM'!G90</f>
        <v/>
      </c>
      <c r="G16" s="31">
        <f>'Master BOM'!L90</f>
        <v/>
      </c>
      <c r="H16" s="31">
        <f>'Master BOM'!M90</f>
        <v/>
      </c>
      <c r="I16" s="31">
        <f>'Master BOM'!N90</f>
        <v/>
      </c>
      <c r="J16" s="12">
        <f>'Master BOM'!O90</f>
        <v/>
      </c>
      <c r="K16" s="12">
        <f>'Master BOM'!P90</f>
        <v/>
      </c>
      <c r="L16" s="12">
        <f>'Master BOM'!Q90</f>
        <v/>
      </c>
      <c r="M16" s="12">
        <f>'Master BOM'!R90</f>
        <v/>
      </c>
      <c r="N16" s="13">
        <f>'Master BOM'!S90</f>
        <v/>
      </c>
    </row>
    <row r="17" ht="28" customHeight="1">
      <c r="A17" s="12">
        <f>'Master BOM'!A91</f>
        <v/>
      </c>
      <c r="B17" s="12">
        <f>'Master BOM'!C91</f>
        <v/>
      </c>
      <c r="C17" s="13">
        <f>'Master BOM'!D91</f>
        <v/>
      </c>
      <c r="D17" s="13">
        <f>'Master BOM'!E91</f>
        <v/>
      </c>
      <c r="E17" s="14">
        <f>'Master BOM'!F91</f>
        <v/>
      </c>
      <c r="F17" s="31">
        <f>'Master BOM'!G91</f>
        <v/>
      </c>
      <c r="G17" s="31">
        <f>'Master BOM'!L91</f>
        <v/>
      </c>
      <c r="H17" s="31">
        <f>'Master BOM'!M91</f>
        <v/>
      </c>
      <c r="I17" s="31">
        <f>'Master BOM'!N91</f>
        <v/>
      </c>
      <c r="J17" s="12">
        <f>'Master BOM'!O91</f>
        <v/>
      </c>
      <c r="K17" s="12">
        <f>'Master BOM'!P91</f>
        <v/>
      </c>
      <c r="L17" s="12">
        <f>'Master BOM'!Q91</f>
        <v/>
      </c>
      <c r="M17" s="12">
        <f>'Master BOM'!R91</f>
        <v/>
      </c>
      <c r="N17" s="13">
        <f>'Master BOM'!S91</f>
        <v/>
      </c>
    </row>
    <row r="18">
      <c r="A18" s="12">
        <f>'Master BOM'!A92</f>
        <v/>
      </c>
      <c r="B18" s="12">
        <f>'Master BOM'!C92</f>
        <v/>
      </c>
      <c r="C18" s="13">
        <f>'Master BOM'!D92</f>
        <v/>
      </c>
      <c r="D18" s="13">
        <f>'Master BOM'!E92</f>
        <v/>
      </c>
      <c r="E18" s="14">
        <f>'Master BOM'!F92</f>
        <v/>
      </c>
      <c r="F18" s="31">
        <f>'Master BOM'!G92</f>
        <v/>
      </c>
      <c r="G18" s="31">
        <f>'Master BOM'!L92</f>
        <v/>
      </c>
      <c r="H18" s="31">
        <f>'Master BOM'!M92</f>
        <v/>
      </c>
      <c r="I18" s="31">
        <f>'Master BOM'!N92</f>
        <v/>
      </c>
      <c r="J18" s="12">
        <f>'Master BOM'!O92</f>
        <v/>
      </c>
      <c r="K18" s="12">
        <f>'Master BOM'!P92</f>
        <v/>
      </c>
      <c r="L18" s="12">
        <f>'Master BOM'!Q92</f>
        <v/>
      </c>
      <c r="M18" s="12">
        <f>'Master BOM'!R92</f>
        <v/>
      </c>
      <c r="N18" s="13">
        <f>'Master BOM'!S92</f>
        <v/>
      </c>
    </row>
    <row r="19" ht="28" customHeight="1">
      <c r="A19" s="12">
        <f>'Master BOM'!A93</f>
        <v/>
      </c>
      <c r="B19" s="12">
        <f>'Master BOM'!C93</f>
        <v/>
      </c>
      <c r="C19" s="13">
        <f>'Master BOM'!D93</f>
        <v/>
      </c>
      <c r="D19" s="13">
        <f>'Master BOM'!E93</f>
        <v/>
      </c>
      <c r="E19" s="14">
        <f>'Master BOM'!F93</f>
        <v/>
      </c>
      <c r="F19" s="31">
        <f>'Master BOM'!G93</f>
        <v/>
      </c>
      <c r="G19" s="31">
        <f>'Master BOM'!L93</f>
        <v/>
      </c>
      <c r="H19" s="31">
        <f>'Master BOM'!M93</f>
        <v/>
      </c>
      <c r="I19" s="31">
        <f>'Master BOM'!N93</f>
        <v/>
      </c>
      <c r="J19" s="12">
        <f>'Master BOM'!O93</f>
        <v/>
      </c>
      <c r="K19" s="12">
        <f>'Master BOM'!P93</f>
        <v/>
      </c>
      <c r="L19" s="12">
        <f>'Master BOM'!Q93</f>
        <v/>
      </c>
      <c r="M19" s="12">
        <f>'Master BOM'!R93</f>
        <v/>
      </c>
      <c r="N19" s="13">
        <f>'Master BOM'!S93</f>
        <v/>
      </c>
    </row>
    <row r="20" ht="28" customHeight="1">
      <c r="A20" s="12">
        <f>'Master BOM'!A94</f>
        <v/>
      </c>
      <c r="B20" s="12">
        <f>'Master BOM'!C94</f>
        <v/>
      </c>
      <c r="C20" s="13">
        <f>'Master BOM'!D94</f>
        <v/>
      </c>
      <c r="D20" s="13">
        <f>'Master BOM'!E94</f>
        <v/>
      </c>
      <c r="E20" s="14">
        <f>'Master BOM'!F94</f>
        <v/>
      </c>
      <c r="F20" s="31">
        <f>'Master BOM'!G94</f>
        <v/>
      </c>
      <c r="G20" s="31">
        <f>'Master BOM'!L94</f>
        <v/>
      </c>
      <c r="H20" s="31">
        <f>'Master BOM'!M94</f>
        <v/>
      </c>
      <c r="I20" s="31">
        <f>'Master BOM'!N94</f>
        <v/>
      </c>
      <c r="J20" s="12">
        <f>'Master BOM'!O94</f>
        <v/>
      </c>
      <c r="K20" s="12">
        <f>'Master BOM'!P94</f>
        <v/>
      </c>
      <c r="L20" s="12">
        <f>'Master BOM'!Q94</f>
        <v/>
      </c>
      <c r="M20" s="12">
        <f>'Master BOM'!R94</f>
        <v/>
      </c>
      <c r="N20" s="13">
        <f>'Master BOM'!S94</f>
        <v/>
      </c>
    </row>
    <row r="21" ht="28" customHeight="1">
      <c r="A21" s="12">
        <f>'Master BOM'!A95</f>
        <v/>
      </c>
      <c r="B21" s="12">
        <f>'Master BOM'!C95</f>
        <v/>
      </c>
      <c r="C21" s="13">
        <f>'Master BOM'!D95</f>
        <v/>
      </c>
      <c r="D21" s="13">
        <f>'Master BOM'!E95</f>
        <v/>
      </c>
      <c r="E21" s="14">
        <f>'Master BOM'!F95</f>
        <v/>
      </c>
      <c r="F21" s="31">
        <f>'Master BOM'!G95</f>
        <v/>
      </c>
      <c r="G21" s="31">
        <f>'Master BOM'!L95</f>
        <v/>
      </c>
      <c r="H21" s="31">
        <f>'Master BOM'!M95</f>
        <v/>
      </c>
      <c r="I21" s="31">
        <f>'Master BOM'!N95</f>
        <v/>
      </c>
      <c r="J21" s="12">
        <f>'Master BOM'!O95</f>
        <v/>
      </c>
      <c r="K21" s="12">
        <f>'Master BOM'!P95</f>
        <v/>
      </c>
      <c r="L21" s="12">
        <f>'Master BOM'!Q95</f>
        <v/>
      </c>
      <c r="M21" s="12">
        <f>'Master BOM'!R95</f>
        <v/>
      </c>
      <c r="N21" s="13">
        <f>'Master BOM'!S95</f>
        <v/>
      </c>
    </row>
    <row r="22" ht="28" customHeight="1">
      <c r="A22" s="12">
        <f>'Master BOM'!A96</f>
        <v/>
      </c>
      <c r="B22" s="12">
        <f>'Master BOM'!C96</f>
        <v/>
      </c>
      <c r="C22" s="13">
        <f>'Master BOM'!D96</f>
        <v/>
      </c>
      <c r="D22" s="13">
        <f>'Master BOM'!E96</f>
        <v/>
      </c>
      <c r="E22" s="14">
        <f>'Master BOM'!F96</f>
        <v/>
      </c>
      <c r="F22" s="31">
        <f>'Master BOM'!G96</f>
        <v/>
      </c>
      <c r="G22" s="31">
        <f>'Master BOM'!L96</f>
        <v/>
      </c>
      <c r="H22" s="31">
        <f>'Master BOM'!M96</f>
        <v/>
      </c>
      <c r="I22" s="31">
        <f>'Master BOM'!N96</f>
        <v/>
      </c>
      <c r="J22" s="12">
        <f>'Master BOM'!O96</f>
        <v/>
      </c>
      <c r="K22" s="12">
        <f>'Master BOM'!P96</f>
        <v/>
      </c>
      <c r="L22" s="12">
        <f>'Master BOM'!Q96</f>
        <v/>
      </c>
      <c r="M22" s="12">
        <f>'Master BOM'!R96</f>
        <v/>
      </c>
      <c r="N22" s="13">
        <f>'Master BOM'!S96</f>
        <v/>
      </c>
    </row>
    <row r="23">
      <c r="A23" s="12">
        <f>'Master BOM'!A97</f>
        <v/>
      </c>
      <c r="B23" s="12">
        <f>'Master BOM'!C97</f>
        <v/>
      </c>
      <c r="C23" s="13">
        <f>'Master BOM'!D97</f>
        <v/>
      </c>
      <c r="D23" s="13">
        <f>'Master BOM'!E97</f>
        <v/>
      </c>
      <c r="E23" s="14">
        <f>'Master BOM'!F97</f>
        <v/>
      </c>
      <c r="F23" s="31">
        <f>'Master BOM'!G97</f>
        <v/>
      </c>
      <c r="G23" s="31">
        <f>'Master BOM'!L97</f>
        <v/>
      </c>
      <c r="H23" s="31">
        <f>'Master BOM'!M97</f>
        <v/>
      </c>
      <c r="I23" s="31">
        <f>'Master BOM'!N97</f>
        <v/>
      </c>
      <c r="J23" s="12">
        <f>'Master BOM'!O97</f>
        <v/>
      </c>
      <c r="K23" s="12">
        <f>'Master BOM'!P97</f>
        <v/>
      </c>
      <c r="L23" s="12">
        <f>'Master BOM'!Q97</f>
        <v/>
      </c>
      <c r="M23" s="12">
        <f>'Master BOM'!R97</f>
        <v/>
      </c>
      <c r="N23" s="13">
        <f>'Master BOM'!S97</f>
        <v/>
      </c>
    </row>
    <row r="24" ht="42" customHeight="1">
      <c r="A24" s="12">
        <f>'Master BOM'!A98</f>
        <v/>
      </c>
      <c r="B24" s="12">
        <f>'Master BOM'!C98</f>
        <v/>
      </c>
      <c r="C24" s="13">
        <f>'Master BOM'!D98</f>
        <v/>
      </c>
      <c r="D24" s="13">
        <f>'Master BOM'!E98</f>
        <v/>
      </c>
      <c r="E24" s="14">
        <f>'Master BOM'!F98</f>
        <v/>
      </c>
      <c r="F24" s="31">
        <f>'Master BOM'!G98</f>
        <v/>
      </c>
      <c r="G24" s="31">
        <f>'Master BOM'!L98</f>
        <v/>
      </c>
      <c r="H24" s="31">
        <f>'Master BOM'!M98</f>
        <v/>
      </c>
      <c r="I24" s="31">
        <f>'Master BOM'!N98</f>
        <v/>
      </c>
      <c r="J24" s="12">
        <f>'Master BOM'!O98</f>
        <v/>
      </c>
      <c r="K24" s="12">
        <f>'Master BOM'!P98</f>
        <v/>
      </c>
      <c r="L24" s="12">
        <f>'Master BOM'!Q98</f>
        <v/>
      </c>
      <c r="M24" s="12">
        <f>'Master BOM'!R98</f>
        <v/>
      </c>
      <c r="N24" s="13">
        <f>'Master BOM'!S98</f>
        <v/>
      </c>
    </row>
    <row r="25" ht="28" customHeight="1">
      <c r="A25" s="12">
        <f>'Master BOM'!A99</f>
        <v/>
      </c>
      <c r="B25" s="12">
        <f>'Master BOM'!C99</f>
        <v/>
      </c>
      <c r="C25" s="13">
        <f>'Master BOM'!D99</f>
        <v/>
      </c>
      <c r="D25" s="13">
        <f>'Master BOM'!E99</f>
        <v/>
      </c>
      <c r="E25" s="14">
        <f>'Master BOM'!F99</f>
        <v/>
      </c>
      <c r="F25" s="31">
        <f>'Master BOM'!G99</f>
        <v/>
      </c>
      <c r="G25" s="31">
        <f>'Master BOM'!L99</f>
        <v/>
      </c>
      <c r="H25" s="31">
        <f>'Master BOM'!M99</f>
        <v/>
      </c>
      <c r="I25" s="31">
        <f>'Master BOM'!N99</f>
        <v/>
      </c>
      <c r="J25" s="12">
        <f>'Master BOM'!O99</f>
        <v/>
      </c>
      <c r="K25" s="12">
        <f>'Master BOM'!P99</f>
        <v/>
      </c>
      <c r="L25" s="12">
        <f>'Master BOM'!Q99</f>
        <v/>
      </c>
      <c r="M25" s="12">
        <f>'Master BOM'!R99</f>
        <v/>
      </c>
      <c r="N25" s="13">
        <f>'Master BOM'!S99</f>
        <v/>
      </c>
    </row>
    <row r="27">
      <c r="C27" s="19" t="inlineStr">
        <is>
          <t>ROLE TOTAL</t>
        </is>
      </c>
      <c r="G27" s="20">
        <f>SUM(G6:G25)</f>
        <v/>
      </c>
      <c r="H27" s="20">
        <f>SUM(H6:H25)</f>
        <v/>
      </c>
      <c r="I27" s="20">
        <f>SUM(I6:I25)</f>
        <v/>
      </c>
    </row>
    <row r="29">
      <c r="C29"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N20"/>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Sim — Ethan</t>
        </is>
      </c>
    </row>
    <row r="2">
      <c r="A2" s="10" t="inlineStr">
        <is>
          <t>Responsibilities: DAQ strategy, storage architecture, sim integration, data visualisation, feedback loop, multi-modal labeling</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ht="28" customHeight="1">
      <c r="A6" s="12">
        <f>'Master BOM'!A100</f>
        <v/>
      </c>
      <c r="B6" s="12">
        <f>'Master BOM'!C100</f>
        <v/>
      </c>
      <c r="C6" s="13">
        <f>'Master BOM'!D100</f>
        <v/>
      </c>
      <c r="D6" s="13">
        <f>'Master BOM'!E100</f>
        <v/>
      </c>
      <c r="E6" s="14">
        <f>'Master BOM'!F100</f>
        <v/>
      </c>
      <c r="F6" s="31">
        <f>'Master BOM'!G100</f>
        <v/>
      </c>
      <c r="G6" s="31">
        <f>'Master BOM'!L100</f>
        <v/>
      </c>
      <c r="H6" s="31">
        <f>'Master BOM'!M100</f>
        <v/>
      </c>
      <c r="I6" s="31">
        <f>'Master BOM'!N100</f>
        <v/>
      </c>
      <c r="J6" s="12">
        <f>'Master BOM'!O100</f>
        <v/>
      </c>
      <c r="K6" s="12">
        <f>'Master BOM'!P100</f>
        <v/>
      </c>
      <c r="L6" s="12">
        <f>'Master BOM'!Q100</f>
        <v/>
      </c>
      <c r="M6" s="12">
        <f>'Master BOM'!R100</f>
        <v/>
      </c>
      <c r="N6" s="13">
        <f>'Master BOM'!S100</f>
        <v/>
      </c>
    </row>
    <row r="7" ht="28" customHeight="1">
      <c r="A7" s="12">
        <f>'Master BOM'!A101</f>
        <v/>
      </c>
      <c r="B7" s="12">
        <f>'Master BOM'!C101</f>
        <v/>
      </c>
      <c r="C7" s="13">
        <f>'Master BOM'!D101</f>
        <v/>
      </c>
      <c r="D7" s="13">
        <f>'Master BOM'!E101</f>
        <v/>
      </c>
      <c r="E7" s="14">
        <f>'Master BOM'!F101</f>
        <v/>
      </c>
      <c r="F7" s="31">
        <f>'Master BOM'!G101</f>
        <v/>
      </c>
      <c r="G7" s="31">
        <f>'Master BOM'!L101</f>
        <v/>
      </c>
      <c r="H7" s="31">
        <f>'Master BOM'!M101</f>
        <v/>
      </c>
      <c r="I7" s="31">
        <f>'Master BOM'!N101</f>
        <v/>
      </c>
      <c r="J7" s="12">
        <f>'Master BOM'!O101</f>
        <v/>
      </c>
      <c r="K7" s="12">
        <f>'Master BOM'!P101</f>
        <v/>
      </c>
      <c r="L7" s="12">
        <f>'Master BOM'!Q101</f>
        <v/>
      </c>
      <c r="M7" s="12">
        <f>'Master BOM'!R101</f>
        <v/>
      </c>
      <c r="N7" s="13">
        <f>'Master BOM'!S101</f>
        <v/>
      </c>
    </row>
    <row r="8" ht="28" customHeight="1">
      <c r="A8" s="12">
        <f>'Master BOM'!A102</f>
        <v/>
      </c>
      <c r="B8" s="12">
        <f>'Master BOM'!C102</f>
        <v/>
      </c>
      <c r="C8" s="13">
        <f>'Master BOM'!D102</f>
        <v/>
      </c>
      <c r="D8" s="13">
        <f>'Master BOM'!E102</f>
        <v/>
      </c>
      <c r="E8" s="14">
        <f>'Master BOM'!F102</f>
        <v/>
      </c>
      <c r="F8" s="31">
        <f>'Master BOM'!G102</f>
        <v/>
      </c>
      <c r="G8" s="31">
        <f>'Master BOM'!L102</f>
        <v/>
      </c>
      <c r="H8" s="31">
        <f>'Master BOM'!M102</f>
        <v/>
      </c>
      <c r="I8" s="31">
        <f>'Master BOM'!N102</f>
        <v/>
      </c>
      <c r="J8" s="12">
        <f>'Master BOM'!O102</f>
        <v/>
      </c>
      <c r="K8" s="12">
        <f>'Master BOM'!P102</f>
        <v/>
      </c>
      <c r="L8" s="12">
        <f>'Master BOM'!Q102</f>
        <v/>
      </c>
      <c r="M8" s="12">
        <f>'Master BOM'!R102</f>
        <v/>
      </c>
      <c r="N8" s="13">
        <f>'Master BOM'!S102</f>
        <v/>
      </c>
    </row>
    <row r="9">
      <c r="A9" s="12">
        <f>'Master BOM'!A103</f>
        <v/>
      </c>
      <c r="B9" s="12">
        <f>'Master BOM'!C103</f>
        <v/>
      </c>
      <c r="C9" s="13">
        <f>'Master BOM'!D103</f>
        <v/>
      </c>
      <c r="D9" s="13">
        <f>'Master BOM'!E103</f>
        <v/>
      </c>
      <c r="E9" s="14">
        <f>'Master BOM'!F103</f>
        <v/>
      </c>
      <c r="F9" s="31">
        <f>'Master BOM'!G103</f>
        <v/>
      </c>
      <c r="G9" s="31">
        <f>'Master BOM'!L103</f>
        <v/>
      </c>
      <c r="H9" s="31">
        <f>'Master BOM'!M103</f>
        <v/>
      </c>
      <c r="I9" s="31">
        <f>'Master BOM'!N103</f>
        <v/>
      </c>
      <c r="J9" s="12">
        <f>'Master BOM'!O103</f>
        <v/>
      </c>
      <c r="K9" s="12">
        <f>'Master BOM'!P103</f>
        <v/>
      </c>
      <c r="L9" s="12">
        <f>'Master BOM'!Q103</f>
        <v/>
      </c>
      <c r="M9" s="12">
        <f>'Master BOM'!R103</f>
        <v/>
      </c>
      <c r="N9" s="13">
        <f>'Master BOM'!S103</f>
        <v/>
      </c>
    </row>
    <row r="10" ht="28" customHeight="1">
      <c r="A10" s="12">
        <f>'Master BOM'!A104</f>
        <v/>
      </c>
      <c r="B10" s="12">
        <f>'Master BOM'!C104</f>
        <v/>
      </c>
      <c r="C10" s="13">
        <f>'Master BOM'!D104</f>
        <v/>
      </c>
      <c r="D10" s="13">
        <f>'Master BOM'!E104</f>
        <v/>
      </c>
      <c r="E10" s="14">
        <f>'Master BOM'!F104</f>
        <v/>
      </c>
      <c r="F10" s="31">
        <f>'Master BOM'!G104</f>
        <v/>
      </c>
      <c r="G10" s="31">
        <f>'Master BOM'!L104</f>
        <v/>
      </c>
      <c r="H10" s="31">
        <f>'Master BOM'!M104</f>
        <v/>
      </c>
      <c r="I10" s="31">
        <f>'Master BOM'!N104</f>
        <v/>
      </c>
      <c r="J10" s="12">
        <f>'Master BOM'!O104</f>
        <v/>
      </c>
      <c r="K10" s="12">
        <f>'Master BOM'!P104</f>
        <v/>
      </c>
      <c r="L10" s="12">
        <f>'Master BOM'!Q104</f>
        <v/>
      </c>
      <c r="M10" s="12">
        <f>'Master BOM'!R104</f>
        <v/>
      </c>
      <c r="N10" s="13">
        <f>'Master BOM'!S104</f>
        <v/>
      </c>
    </row>
    <row r="11">
      <c r="A11" s="12">
        <f>'Master BOM'!A105</f>
        <v/>
      </c>
      <c r="B11" s="12">
        <f>'Master BOM'!C105</f>
        <v/>
      </c>
      <c r="C11" s="13">
        <f>'Master BOM'!D105</f>
        <v/>
      </c>
      <c r="D11" s="13">
        <f>'Master BOM'!E105</f>
        <v/>
      </c>
      <c r="E11" s="14">
        <f>'Master BOM'!F105</f>
        <v/>
      </c>
      <c r="F11" s="31">
        <f>'Master BOM'!G105</f>
        <v/>
      </c>
      <c r="G11" s="31">
        <f>'Master BOM'!L105</f>
        <v/>
      </c>
      <c r="H11" s="31">
        <f>'Master BOM'!M105</f>
        <v/>
      </c>
      <c r="I11" s="31">
        <f>'Master BOM'!N105</f>
        <v/>
      </c>
      <c r="J11" s="12">
        <f>'Master BOM'!O105</f>
        <v/>
      </c>
      <c r="K11" s="12">
        <f>'Master BOM'!P105</f>
        <v/>
      </c>
      <c r="L11" s="12">
        <f>'Master BOM'!Q105</f>
        <v/>
      </c>
      <c r="M11" s="12">
        <f>'Master BOM'!R105</f>
        <v/>
      </c>
      <c r="N11" s="13">
        <f>'Master BOM'!S105</f>
        <v/>
      </c>
    </row>
    <row r="12">
      <c r="A12" s="12">
        <f>'Master BOM'!A106</f>
        <v/>
      </c>
      <c r="B12" s="12">
        <f>'Master BOM'!C106</f>
        <v/>
      </c>
      <c r="C12" s="13">
        <f>'Master BOM'!D106</f>
        <v/>
      </c>
      <c r="D12" s="13">
        <f>'Master BOM'!E106</f>
        <v/>
      </c>
      <c r="E12" s="14">
        <f>'Master BOM'!F106</f>
        <v/>
      </c>
      <c r="F12" s="31">
        <f>'Master BOM'!G106</f>
        <v/>
      </c>
      <c r="G12" s="31">
        <f>'Master BOM'!L106</f>
        <v/>
      </c>
      <c r="H12" s="31">
        <f>'Master BOM'!M106</f>
        <v/>
      </c>
      <c r="I12" s="31">
        <f>'Master BOM'!N106</f>
        <v/>
      </c>
      <c r="J12" s="12">
        <f>'Master BOM'!O106</f>
        <v/>
      </c>
      <c r="K12" s="12">
        <f>'Master BOM'!P106</f>
        <v/>
      </c>
      <c r="L12" s="12">
        <f>'Master BOM'!Q106</f>
        <v/>
      </c>
      <c r="M12" s="12">
        <f>'Master BOM'!R106</f>
        <v/>
      </c>
      <c r="N12" s="13">
        <f>'Master BOM'!S106</f>
        <v/>
      </c>
    </row>
    <row r="13">
      <c r="A13" s="12">
        <f>'Master BOM'!A107</f>
        <v/>
      </c>
      <c r="B13" s="12">
        <f>'Master BOM'!C107</f>
        <v/>
      </c>
      <c r="C13" s="13">
        <f>'Master BOM'!D107</f>
        <v/>
      </c>
      <c r="D13" s="13">
        <f>'Master BOM'!E107</f>
        <v/>
      </c>
      <c r="E13" s="14">
        <f>'Master BOM'!F107</f>
        <v/>
      </c>
      <c r="F13" s="31">
        <f>'Master BOM'!G107</f>
        <v/>
      </c>
      <c r="G13" s="31">
        <f>'Master BOM'!L107</f>
        <v/>
      </c>
      <c r="H13" s="31">
        <f>'Master BOM'!M107</f>
        <v/>
      </c>
      <c r="I13" s="31">
        <f>'Master BOM'!N107</f>
        <v/>
      </c>
      <c r="J13" s="12">
        <f>'Master BOM'!O107</f>
        <v/>
      </c>
      <c r="K13" s="12">
        <f>'Master BOM'!P107</f>
        <v/>
      </c>
      <c r="L13" s="12">
        <f>'Master BOM'!Q107</f>
        <v/>
      </c>
      <c r="M13" s="12">
        <f>'Master BOM'!R107</f>
        <v/>
      </c>
      <c r="N13" s="13">
        <f>'Master BOM'!S107</f>
        <v/>
      </c>
    </row>
    <row r="14">
      <c r="A14" s="12">
        <f>'Master BOM'!A108</f>
        <v/>
      </c>
      <c r="B14" s="12">
        <f>'Master BOM'!C108</f>
        <v/>
      </c>
      <c r="C14" s="13">
        <f>'Master BOM'!D108</f>
        <v/>
      </c>
      <c r="D14" s="13">
        <f>'Master BOM'!E108</f>
        <v/>
      </c>
      <c r="E14" s="14">
        <f>'Master BOM'!F108</f>
        <v/>
      </c>
      <c r="F14" s="31">
        <f>'Master BOM'!G108</f>
        <v/>
      </c>
      <c r="G14" s="31">
        <f>'Master BOM'!L108</f>
        <v/>
      </c>
      <c r="H14" s="31">
        <f>'Master BOM'!M108</f>
        <v/>
      </c>
      <c r="I14" s="31">
        <f>'Master BOM'!N108</f>
        <v/>
      </c>
      <c r="J14" s="12">
        <f>'Master BOM'!O108</f>
        <v/>
      </c>
      <c r="K14" s="12">
        <f>'Master BOM'!P108</f>
        <v/>
      </c>
      <c r="L14" s="12">
        <f>'Master BOM'!Q108</f>
        <v/>
      </c>
      <c r="M14" s="12">
        <f>'Master BOM'!R108</f>
        <v/>
      </c>
      <c r="N14" s="13">
        <f>'Master BOM'!S108</f>
        <v/>
      </c>
    </row>
    <row r="15" ht="28" customHeight="1">
      <c r="A15" s="12">
        <f>'Master BOM'!A109</f>
        <v/>
      </c>
      <c r="B15" s="12">
        <f>'Master BOM'!C109</f>
        <v/>
      </c>
      <c r="C15" s="13">
        <f>'Master BOM'!D109</f>
        <v/>
      </c>
      <c r="D15" s="13">
        <f>'Master BOM'!E109</f>
        <v/>
      </c>
      <c r="E15" s="14">
        <f>'Master BOM'!F109</f>
        <v/>
      </c>
      <c r="F15" s="31">
        <f>'Master BOM'!G109</f>
        <v/>
      </c>
      <c r="G15" s="31">
        <f>'Master BOM'!L109</f>
        <v/>
      </c>
      <c r="H15" s="31">
        <f>'Master BOM'!M109</f>
        <v/>
      </c>
      <c r="I15" s="31">
        <f>'Master BOM'!N109</f>
        <v/>
      </c>
      <c r="J15" s="12">
        <f>'Master BOM'!O109</f>
        <v/>
      </c>
      <c r="K15" s="12">
        <f>'Master BOM'!P109</f>
        <v/>
      </c>
      <c r="L15" s="12">
        <f>'Master BOM'!Q109</f>
        <v/>
      </c>
      <c r="M15" s="12">
        <f>'Master BOM'!R109</f>
        <v/>
      </c>
      <c r="N15" s="13">
        <f>'Master BOM'!S109</f>
        <v/>
      </c>
    </row>
    <row r="16" ht="28" customHeight="1">
      <c r="A16" s="12">
        <f>'Master BOM'!A110</f>
        <v/>
      </c>
      <c r="B16" s="12">
        <f>'Master BOM'!C110</f>
        <v/>
      </c>
      <c r="C16" s="13">
        <f>'Master BOM'!D110</f>
        <v/>
      </c>
      <c r="D16" s="13">
        <f>'Master BOM'!E110</f>
        <v/>
      </c>
      <c r="E16" s="14">
        <f>'Master BOM'!F110</f>
        <v/>
      </c>
      <c r="F16" s="31">
        <f>'Master BOM'!G110</f>
        <v/>
      </c>
      <c r="G16" s="31">
        <f>'Master BOM'!L110</f>
        <v/>
      </c>
      <c r="H16" s="31">
        <f>'Master BOM'!M110</f>
        <v/>
      </c>
      <c r="I16" s="31">
        <f>'Master BOM'!N110</f>
        <v/>
      </c>
      <c r="J16" s="12">
        <f>'Master BOM'!O110</f>
        <v/>
      </c>
      <c r="K16" s="12">
        <f>'Master BOM'!P110</f>
        <v/>
      </c>
      <c r="L16" s="12">
        <f>'Master BOM'!Q110</f>
        <v/>
      </c>
      <c r="M16" s="12">
        <f>'Master BOM'!R110</f>
        <v/>
      </c>
      <c r="N16" s="13">
        <f>'Master BOM'!S110</f>
        <v/>
      </c>
    </row>
    <row r="18">
      <c r="C18" s="19" t="inlineStr">
        <is>
          <t>ROLE TOTAL</t>
        </is>
      </c>
      <c r="G18" s="20">
        <f>SUM(G6:G16)</f>
        <v/>
      </c>
      <c r="H18" s="20">
        <f>SUM(H6:H16)</f>
        <v/>
      </c>
      <c r="I18" s="20">
        <f>SUM(I6:I16)</f>
        <v/>
      </c>
    </row>
    <row r="20">
      <c r="C20"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13"/>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5"/>
  <cols>
    <col width="9" customWidth="1" min="1" max="1"/>
    <col width="22" customWidth="1" min="2" max="2"/>
    <col width="32" customWidth="1" min="3" max="3"/>
    <col width="46" customWidth="1" min="4" max="4"/>
    <col width="6" customWidth="1" min="5" max="5"/>
    <col width="13" customWidth="1" min="6" max="9"/>
    <col width="11" customWidth="1" min="10" max="10"/>
    <col width="16" customWidth="1" min="11" max="11"/>
    <col width="30" customWidth="1" min="12" max="12"/>
    <col width="22" customWidth="1" min="13" max="13"/>
    <col width="80" customWidth="1" min="14" max="14"/>
  </cols>
  <sheetData>
    <row r="1" ht="18" customHeight="1">
      <c r="A1" s="9" t="inlineStr">
        <is>
          <t>Web — Geet</t>
        </is>
      </c>
    </row>
    <row r="2">
      <c r="A2" s="10" t="inlineStr">
        <is>
          <t>Responsibilities: Website/front-end for documentation, comms with the rest of the team</t>
        </is>
      </c>
    </row>
    <row r="3">
      <c r="A3" s="10" t="inlineStr">
        <is>
          <t>All values pull live from 'Master BOM'. Edit costs there, not here.</t>
        </is>
      </c>
    </row>
    <row r="5" ht="31.5" customHeight="1">
      <c r="A5" s="11" t="inlineStr">
        <is>
          <t>ID</t>
        </is>
      </c>
      <c r="B5" s="11" t="inlineStr">
        <is>
          <t>Category</t>
        </is>
      </c>
      <c r="C5" s="11" t="inlineStr">
        <is>
          <t>Item / Purpose</t>
        </is>
      </c>
      <c r="D5" s="11" t="inlineStr">
        <is>
          <t>Recommended Model / Spec</t>
        </is>
      </c>
      <c r="E5" s="11" t="inlineStr">
        <is>
          <t>Qty</t>
        </is>
      </c>
      <c r="F5" s="11" t="inlineStr">
        <is>
          <t>Unit Cost (USD)</t>
        </is>
      </c>
      <c r="G5" s="11" t="inlineStr">
        <is>
          <t>Tier 1 ($)</t>
        </is>
      </c>
      <c r="H5" s="11" t="inlineStr">
        <is>
          <t>Tier 2 ($)</t>
        </is>
      </c>
      <c r="I5" s="11" t="inlineStr">
        <is>
          <t>Tier 3 ($)</t>
        </is>
      </c>
      <c r="J5" s="11" t="inlineStr">
        <is>
          <t>Priority</t>
        </is>
      </c>
      <c r="K5" s="11" t="inlineStr">
        <is>
          <t>Lead Time</t>
        </is>
      </c>
      <c r="L5" s="11" t="inlineStr">
        <is>
          <t>Sponsorable?</t>
        </is>
      </c>
      <c r="M5" s="11" t="inlineStr">
        <is>
          <t>Rules Ref</t>
        </is>
      </c>
      <c r="N5" s="11" t="inlineStr">
        <is>
          <t>Notes / Rationale</t>
        </is>
      </c>
    </row>
    <row r="6">
      <c r="A6" s="12">
        <f>'Master BOM'!A111</f>
        <v/>
      </c>
      <c r="B6" s="12">
        <f>'Master BOM'!C111</f>
        <v/>
      </c>
      <c r="C6" s="13">
        <f>'Master BOM'!D111</f>
        <v/>
      </c>
      <c r="D6" s="13">
        <f>'Master BOM'!E111</f>
        <v/>
      </c>
      <c r="E6" s="14">
        <f>'Master BOM'!F111</f>
        <v/>
      </c>
      <c r="F6" s="31">
        <f>'Master BOM'!G111</f>
        <v/>
      </c>
      <c r="G6" s="31">
        <f>'Master BOM'!L111</f>
        <v/>
      </c>
      <c r="H6" s="31">
        <f>'Master BOM'!M111</f>
        <v/>
      </c>
      <c r="I6" s="31">
        <f>'Master BOM'!N111</f>
        <v/>
      </c>
      <c r="J6" s="12">
        <f>'Master BOM'!O111</f>
        <v/>
      </c>
      <c r="K6" s="12">
        <f>'Master BOM'!P111</f>
        <v/>
      </c>
      <c r="L6" s="12">
        <f>'Master BOM'!Q111</f>
        <v/>
      </c>
      <c r="M6" s="12">
        <f>'Master BOM'!R111</f>
        <v/>
      </c>
      <c r="N6" s="13">
        <f>'Master BOM'!S111</f>
        <v/>
      </c>
    </row>
    <row r="7" ht="28" customHeight="1">
      <c r="A7" s="12">
        <f>'Master BOM'!A112</f>
        <v/>
      </c>
      <c r="B7" s="12">
        <f>'Master BOM'!C112</f>
        <v/>
      </c>
      <c r="C7" s="13">
        <f>'Master BOM'!D112</f>
        <v/>
      </c>
      <c r="D7" s="13">
        <f>'Master BOM'!E112</f>
        <v/>
      </c>
      <c r="E7" s="14">
        <f>'Master BOM'!F112</f>
        <v/>
      </c>
      <c r="F7" s="31">
        <f>'Master BOM'!G112</f>
        <v/>
      </c>
      <c r="G7" s="31">
        <f>'Master BOM'!L112</f>
        <v/>
      </c>
      <c r="H7" s="31">
        <f>'Master BOM'!M112</f>
        <v/>
      </c>
      <c r="I7" s="31">
        <f>'Master BOM'!N112</f>
        <v/>
      </c>
      <c r="J7" s="12">
        <f>'Master BOM'!O112</f>
        <v/>
      </c>
      <c r="K7" s="12">
        <f>'Master BOM'!P112</f>
        <v/>
      </c>
      <c r="L7" s="12">
        <f>'Master BOM'!Q112</f>
        <v/>
      </c>
      <c r="M7" s="12">
        <f>'Master BOM'!R112</f>
        <v/>
      </c>
      <c r="N7" s="13">
        <f>'Master BOM'!S112</f>
        <v/>
      </c>
    </row>
    <row r="8" ht="28" customHeight="1">
      <c r="A8" s="12">
        <f>'Master BOM'!A113</f>
        <v/>
      </c>
      <c r="B8" s="12">
        <f>'Master BOM'!C113</f>
        <v/>
      </c>
      <c r="C8" s="13">
        <f>'Master BOM'!D113</f>
        <v/>
      </c>
      <c r="D8" s="13">
        <f>'Master BOM'!E113</f>
        <v/>
      </c>
      <c r="E8" s="14">
        <f>'Master BOM'!F113</f>
        <v/>
      </c>
      <c r="F8" s="31">
        <f>'Master BOM'!G113</f>
        <v/>
      </c>
      <c r="G8" s="31">
        <f>'Master BOM'!L113</f>
        <v/>
      </c>
      <c r="H8" s="31">
        <f>'Master BOM'!M113</f>
        <v/>
      </c>
      <c r="I8" s="31">
        <f>'Master BOM'!N113</f>
        <v/>
      </c>
      <c r="J8" s="12">
        <f>'Master BOM'!O113</f>
        <v/>
      </c>
      <c r="K8" s="12">
        <f>'Master BOM'!P113</f>
        <v/>
      </c>
      <c r="L8" s="12">
        <f>'Master BOM'!Q113</f>
        <v/>
      </c>
      <c r="M8" s="12">
        <f>'Master BOM'!R113</f>
        <v/>
      </c>
      <c r="N8" s="13">
        <f>'Master BOM'!S113</f>
        <v/>
      </c>
    </row>
    <row r="9">
      <c r="A9" s="12">
        <f>'Master BOM'!A114</f>
        <v/>
      </c>
      <c r="B9" s="12">
        <f>'Master BOM'!C114</f>
        <v/>
      </c>
      <c r="C9" s="13">
        <f>'Master BOM'!D114</f>
        <v/>
      </c>
      <c r="D9" s="13">
        <f>'Master BOM'!E114</f>
        <v/>
      </c>
      <c r="E9" s="14">
        <f>'Master BOM'!F114</f>
        <v/>
      </c>
      <c r="F9" s="31">
        <f>'Master BOM'!G114</f>
        <v/>
      </c>
      <c r="G9" s="31">
        <f>'Master BOM'!L114</f>
        <v/>
      </c>
      <c r="H9" s="31">
        <f>'Master BOM'!M114</f>
        <v/>
      </c>
      <c r="I9" s="31">
        <f>'Master BOM'!N114</f>
        <v/>
      </c>
      <c r="J9" s="12">
        <f>'Master BOM'!O114</f>
        <v/>
      </c>
      <c r="K9" s="12">
        <f>'Master BOM'!P114</f>
        <v/>
      </c>
      <c r="L9" s="12">
        <f>'Master BOM'!Q114</f>
        <v/>
      </c>
      <c r="M9" s="12">
        <f>'Master BOM'!R114</f>
        <v/>
      </c>
      <c r="N9" s="13">
        <f>'Master BOM'!S114</f>
        <v/>
      </c>
    </row>
    <row r="11">
      <c r="C11" s="19" t="inlineStr">
        <is>
          <t>ROLE TOTAL</t>
        </is>
      </c>
      <c r="G11" s="20">
        <f>SUM(G6:G9)</f>
        <v/>
      </c>
      <c r="H11" s="20">
        <f>SUM(H6:H9)</f>
        <v/>
      </c>
      <c r="I11" s="20">
        <f>SUM(I6:I9)</f>
        <v/>
      </c>
    </row>
    <row r="13">
      <c r="C13" s="10" t="inlineStr">
        <is>
          <t>Tier columns are alternative configurations, not cumulative. Pick the tier your funding supports.</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J36"/>
  <sheetViews>
    <sheetView zoomScaleNormal="100" workbookViewId="0">
      <pane xSplit="3" ySplit="4" topLeftCell="D5" activePane="bottomRight" state="frozen"/>
      <selection pane="topRight" activeCell="D1" sqref="D1"/>
      <selection pane="bottomLeft" activeCell="A5" sqref="A5"/>
      <selection pane="bottomRight" activeCell="A1" sqref="A1"/>
    </sheetView>
  </sheetViews>
  <sheetFormatPr baseColWidth="10" defaultColWidth="8.6640625" defaultRowHeight="15"/>
  <cols>
    <col width="16" customWidth="1" min="1" max="1"/>
    <col width="9" customWidth="1" min="2" max="2"/>
    <col width="30" customWidth="1" min="3" max="3"/>
    <col width="32" customWidth="1" min="4" max="4"/>
    <col width="46" customWidth="1" min="5" max="5"/>
    <col width="16" customWidth="1" min="6" max="6"/>
    <col width="13" customWidth="1" min="7" max="9"/>
    <col width="80" customWidth="1" min="10" max="10"/>
  </cols>
  <sheetData>
    <row r="1" ht="18" customHeight="1">
      <c r="A1" s="9" t="inlineStr">
        <is>
          <t>ORDER FIRST — CRITICAL PATH BY LEAD TIME</t>
        </is>
      </c>
    </row>
    <row r="2">
      <c r="A2" s="10" t="inlineStr">
        <is>
          <t>Critical-priority items with a four-week-or-longer lead, longest first. The Gross-Funk RES is the binding constraint on the whole program — order it before anything else, regardless of tier or sponsorship outcome.</t>
        </is>
      </c>
    </row>
    <row r="4" ht="31.5" customHeight="1">
      <c r="A4" s="11" t="inlineStr">
        <is>
          <t>Order by (weeks before needed)</t>
        </is>
      </c>
      <c r="B4" s="11" t="inlineStr">
        <is>
          <t>ID</t>
        </is>
      </c>
      <c r="C4" s="11" t="inlineStr">
        <is>
          <t>Role Owner</t>
        </is>
      </c>
      <c r="D4" s="11" t="inlineStr">
        <is>
          <t>Item / Purpose</t>
        </is>
      </c>
      <c r="E4" s="11" t="inlineStr">
        <is>
          <t>Recommended Model / Spec</t>
        </is>
      </c>
      <c r="F4" s="11" t="inlineStr">
        <is>
          <t>Lead Time</t>
        </is>
      </c>
      <c r="G4" s="11" t="inlineStr">
        <is>
          <t>Tier 1 ($)</t>
        </is>
      </c>
      <c r="H4" s="11" t="inlineStr">
        <is>
          <t>Tier 2 ($)</t>
        </is>
      </c>
      <c r="I4" s="11" t="inlineStr">
        <is>
          <t>Tier 3 ($)</t>
        </is>
      </c>
      <c r="J4" s="11" t="inlineStr">
        <is>
          <t>Notes / Rationale</t>
        </is>
      </c>
    </row>
    <row r="5" ht="28" customHeight="1">
      <c r="A5" s="33" t="n">
        <v>16</v>
      </c>
      <c r="B5" s="12">
        <f>'Master BOM'!A75</f>
        <v/>
      </c>
      <c r="C5" s="12">
        <f>'Master BOM'!B75</f>
        <v/>
      </c>
      <c r="D5" s="13">
        <f>'Master BOM'!D75</f>
        <v/>
      </c>
      <c r="E5" s="13">
        <f>'Master BOM'!E75</f>
        <v/>
      </c>
      <c r="F5" s="12">
        <f>'Master BOM'!P75</f>
        <v/>
      </c>
      <c r="G5" s="31">
        <f>'Master BOM'!L75</f>
        <v/>
      </c>
      <c r="H5" s="31">
        <f>'Master BOM'!M75</f>
        <v/>
      </c>
      <c r="I5" s="31">
        <f>'Master BOM'!N75</f>
        <v/>
      </c>
      <c r="J5" s="13">
        <f>'Master BOM'!S75</f>
        <v/>
      </c>
    </row>
    <row r="6" ht="28" customHeight="1">
      <c r="A6" s="33" t="n">
        <v>14</v>
      </c>
      <c r="B6" s="12">
        <f>'Master BOM'!A20</f>
        <v/>
      </c>
      <c r="C6" s="12">
        <f>'Master BOM'!B20</f>
        <v/>
      </c>
      <c r="D6" s="13">
        <f>'Master BOM'!D20</f>
        <v/>
      </c>
      <c r="E6" s="13">
        <f>'Master BOM'!E20</f>
        <v/>
      </c>
      <c r="F6" s="12">
        <f>'Master BOM'!P20</f>
        <v/>
      </c>
      <c r="G6" s="31">
        <f>'Master BOM'!L20</f>
        <v/>
      </c>
      <c r="H6" s="31">
        <f>'Master BOM'!M20</f>
        <v/>
      </c>
      <c r="I6" s="31">
        <f>'Master BOM'!N20</f>
        <v/>
      </c>
      <c r="J6" s="13">
        <f>'Master BOM'!S20</f>
        <v/>
      </c>
    </row>
    <row r="7" ht="28" customHeight="1">
      <c r="A7" s="33" t="n">
        <v>14</v>
      </c>
      <c r="B7" s="12">
        <f>'Master BOM'!A71</f>
        <v/>
      </c>
      <c r="C7" s="12">
        <f>'Master BOM'!B71</f>
        <v/>
      </c>
      <c r="D7" s="13">
        <f>'Master BOM'!D71</f>
        <v/>
      </c>
      <c r="E7" s="13">
        <f>'Master BOM'!E71</f>
        <v/>
      </c>
      <c r="F7" s="12">
        <f>'Master BOM'!P71</f>
        <v/>
      </c>
      <c r="G7" s="31">
        <f>'Master BOM'!L71</f>
        <v/>
      </c>
      <c r="H7" s="31">
        <f>'Master BOM'!M71</f>
        <v/>
      </c>
      <c r="I7" s="31">
        <f>'Master BOM'!N71</f>
        <v/>
      </c>
      <c r="J7" s="13">
        <f>'Master BOM'!S71</f>
        <v/>
      </c>
    </row>
    <row r="8" ht="28" customHeight="1">
      <c r="A8" s="33" t="n">
        <v>12</v>
      </c>
      <c r="B8" s="12">
        <f>'Master BOM'!A19</f>
        <v/>
      </c>
      <c r="C8" s="12">
        <f>'Master BOM'!B19</f>
        <v/>
      </c>
      <c r="D8" s="13">
        <f>'Master BOM'!D19</f>
        <v/>
      </c>
      <c r="E8" s="13">
        <f>'Master BOM'!E19</f>
        <v/>
      </c>
      <c r="F8" s="12">
        <f>'Master BOM'!P19</f>
        <v/>
      </c>
      <c r="G8" s="31">
        <f>'Master BOM'!L19</f>
        <v/>
      </c>
      <c r="H8" s="31">
        <f>'Master BOM'!M19</f>
        <v/>
      </c>
      <c r="I8" s="31">
        <f>'Master BOM'!N19</f>
        <v/>
      </c>
      <c r="J8" s="13">
        <f>'Master BOM'!S19</f>
        <v/>
      </c>
    </row>
    <row r="9" ht="28" customHeight="1">
      <c r="A9" s="33" t="n">
        <v>12</v>
      </c>
      <c r="B9" s="12">
        <f>'Master BOM'!A35</f>
        <v/>
      </c>
      <c r="C9" s="12">
        <f>'Master BOM'!B35</f>
        <v/>
      </c>
      <c r="D9" s="13">
        <f>'Master BOM'!D35</f>
        <v/>
      </c>
      <c r="E9" s="13">
        <f>'Master BOM'!E35</f>
        <v/>
      </c>
      <c r="F9" s="12">
        <f>'Master BOM'!P35</f>
        <v/>
      </c>
      <c r="G9" s="31">
        <f>'Master BOM'!L35</f>
        <v/>
      </c>
      <c r="H9" s="31">
        <f>'Master BOM'!M35</f>
        <v/>
      </c>
      <c r="I9" s="31">
        <f>'Master BOM'!N35</f>
        <v/>
      </c>
      <c r="J9" s="13">
        <f>'Master BOM'!S35</f>
        <v/>
      </c>
    </row>
    <row r="10" ht="28" customHeight="1">
      <c r="A10" s="33" t="n">
        <v>12</v>
      </c>
      <c r="B10" s="12">
        <f>'Master BOM'!A48</f>
        <v/>
      </c>
      <c r="C10" s="12">
        <f>'Master BOM'!B48</f>
        <v/>
      </c>
      <c r="D10" s="13">
        <f>'Master BOM'!D48</f>
        <v/>
      </c>
      <c r="E10" s="13">
        <f>'Master BOM'!E48</f>
        <v/>
      </c>
      <c r="F10" s="12">
        <f>'Master BOM'!P48</f>
        <v/>
      </c>
      <c r="G10" s="31">
        <f>'Master BOM'!L48</f>
        <v/>
      </c>
      <c r="H10" s="31">
        <f>'Master BOM'!M48</f>
        <v/>
      </c>
      <c r="I10" s="31">
        <f>'Master BOM'!N48</f>
        <v/>
      </c>
      <c r="J10" s="13">
        <f>'Master BOM'!S48</f>
        <v/>
      </c>
    </row>
    <row r="11" ht="28" customHeight="1">
      <c r="A11" s="33" t="n">
        <v>12</v>
      </c>
      <c r="B11" s="12">
        <f>'Master BOM'!A70</f>
        <v/>
      </c>
      <c r="C11" s="12">
        <f>'Master BOM'!B70</f>
        <v/>
      </c>
      <c r="D11" s="13">
        <f>'Master BOM'!D70</f>
        <v/>
      </c>
      <c r="E11" s="13">
        <f>'Master BOM'!E70</f>
        <v/>
      </c>
      <c r="F11" s="12">
        <f>'Master BOM'!P70</f>
        <v/>
      </c>
      <c r="G11" s="31">
        <f>'Master BOM'!L70</f>
        <v/>
      </c>
      <c r="H11" s="31">
        <f>'Master BOM'!M70</f>
        <v/>
      </c>
      <c r="I11" s="31">
        <f>'Master BOM'!N70</f>
        <v/>
      </c>
      <c r="J11" s="13">
        <f>'Master BOM'!S70</f>
        <v/>
      </c>
    </row>
    <row r="12" ht="28" customHeight="1">
      <c r="A12" s="33" t="n">
        <v>12</v>
      </c>
      <c r="B12" s="12">
        <f>'Master BOM'!A74</f>
        <v/>
      </c>
      <c r="C12" s="12">
        <f>'Master BOM'!B74</f>
        <v/>
      </c>
      <c r="D12" s="13">
        <f>'Master BOM'!D74</f>
        <v/>
      </c>
      <c r="E12" s="13">
        <f>'Master BOM'!E74</f>
        <v/>
      </c>
      <c r="F12" s="12">
        <f>'Master BOM'!P74</f>
        <v/>
      </c>
      <c r="G12" s="31">
        <f>'Master BOM'!L74</f>
        <v/>
      </c>
      <c r="H12" s="31">
        <f>'Master BOM'!M74</f>
        <v/>
      </c>
      <c r="I12" s="31">
        <f>'Master BOM'!N74</f>
        <v/>
      </c>
      <c r="J12" s="13">
        <f>'Master BOM'!S74</f>
        <v/>
      </c>
    </row>
    <row r="13" ht="42" customHeight="1">
      <c r="A13" s="33" t="n">
        <v>12</v>
      </c>
      <c r="B13" s="12">
        <f>'Master BOM'!A98</f>
        <v/>
      </c>
      <c r="C13" s="12">
        <f>'Master BOM'!B98</f>
        <v/>
      </c>
      <c r="D13" s="13">
        <f>'Master BOM'!D98</f>
        <v/>
      </c>
      <c r="E13" s="13">
        <f>'Master BOM'!E98</f>
        <v/>
      </c>
      <c r="F13" s="12">
        <f>'Master BOM'!P98</f>
        <v/>
      </c>
      <c r="G13" s="31">
        <f>'Master BOM'!L98</f>
        <v/>
      </c>
      <c r="H13" s="31">
        <f>'Master BOM'!M98</f>
        <v/>
      </c>
      <c r="I13" s="31">
        <f>'Master BOM'!N98</f>
        <v/>
      </c>
      <c r="J13" s="13">
        <f>'Master BOM'!S98</f>
        <v/>
      </c>
    </row>
    <row r="14" ht="28" customHeight="1">
      <c r="A14" s="33" t="n">
        <v>10</v>
      </c>
      <c r="B14" s="12">
        <f>'Master BOM'!A4</f>
        <v/>
      </c>
      <c r="C14" s="12">
        <f>'Master BOM'!B4</f>
        <v/>
      </c>
      <c r="D14" s="13">
        <f>'Master BOM'!D4</f>
        <v/>
      </c>
      <c r="E14" s="13">
        <f>'Master BOM'!E4</f>
        <v/>
      </c>
      <c r="F14" s="12">
        <f>'Master BOM'!P4</f>
        <v/>
      </c>
      <c r="G14" s="31">
        <f>'Master BOM'!L4</f>
        <v/>
      </c>
      <c r="H14" s="31">
        <f>'Master BOM'!M4</f>
        <v/>
      </c>
      <c r="I14" s="31">
        <f>'Master BOM'!N4</f>
        <v/>
      </c>
      <c r="J14" s="13">
        <f>'Master BOM'!S4</f>
        <v/>
      </c>
    </row>
    <row r="15" ht="28" customHeight="1">
      <c r="A15" s="33" t="n">
        <v>10</v>
      </c>
      <c r="B15" s="12">
        <f>'Master BOM'!A24</f>
        <v/>
      </c>
      <c r="C15" s="12">
        <f>'Master BOM'!B24</f>
        <v/>
      </c>
      <c r="D15" s="13">
        <f>'Master BOM'!D24</f>
        <v/>
      </c>
      <c r="E15" s="13">
        <f>'Master BOM'!E24</f>
        <v/>
      </c>
      <c r="F15" s="12">
        <f>'Master BOM'!P24</f>
        <v/>
      </c>
      <c r="G15" s="31">
        <f>'Master BOM'!L24</f>
        <v/>
      </c>
      <c r="H15" s="31">
        <f>'Master BOM'!M24</f>
        <v/>
      </c>
      <c r="I15" s="31">
        <f>'Master BOM'!N24</f>
        <v/>
      </c>
      <c r="J15" s="13">
        <f>'Master BOM'!S24</f>
        <v/>
      </c>
    </row>
    <row r="16" ht="28" customHeight="1">
      <c r="A16" s="33" t="n">
        <v>10</v>
      </c>
      <c r="B16" s="12">
        <f>'Master BOM'!A34</f>
        <v/>
      </c>
      <c r="C16" s="12">
        <f>'Master BOM'!B34</f>
        <v/>
      </c>
      <c r="D16" s="13">
        <f>'Master BOM'!D34</f>
        <v/>
      </c>
      <c r="E16" s="13">
        <f>'Master BOM'!E34</f>
        <v/>
      </c>
      <c r="F16" s="12">
        <f>'Master BOM'!P34</f>
        <v/>
      </c>
      <c r="G16" s="31">
        <f>'Master BOM'!L34</f>
        <v/>
      </c>
      <c r="H16" s="31">
        <f>'Master BOM'!M34</f>
        <v/>
      </c>
      <c r="I16" s="31">
        <f>'Master BOM'!N34</f>
        <v/>
      </c>
      <c r="J16" s="13">
        <f>'Master BOM'!S34</f>
        <v/>
      </c>
    </row>
    <row r="17" ht="28" customHeight="1">
      <c r="A17" s="33" t="n">
        <v>10</v>
      </c>
      <c r="B17" s="12">
        <f>'Master BOM'!A47</f>
        <v/>
      </c>
      <c r="C17" s="12">
        <f>'Master BOM'!B47</f>
        <v/>
      </c>
      <c r="D17" s="13">
        <f>'Master BOM'!D47</f>
        <v/>
      </c>
      <c r="E17" s="13">
        <f>'Master BOM'!E47</f>
        <v/>
      </c>
      <c r="F17" s="12">
        <f>'Master BOM'!P47</f>
        <v/>
      </c>
      <c r="G17" s="31">
        <f>'Master BOM'!L47</f>
        <v/>
      </c>
      <c r="H17" s="31">
        <f>'Master BOM'!M47</f>
        <v/>
      </c>
      <c r="I17" s="31">
        <f>'Master BOM'!N47</f>
        <v/>
      </c>
      <c r="J17" s="13">
        <f>'Master BOM'!S47</f>
        <v/>
      </c>
    </row>
    <row r="18" ht="28" customHeight="1">
      <c r="A18" s="33" t="n">
        <v>10</v>
      </c>
      <c r="B18" s="12">
        <f>'Master BOM'!A73</f>
        <v/>
      </c>
      <c r="C18" s="12">
        <f>'Master BOM'!B73</f>
        <v/>
      </c>
      <c r="D18" s="13">
        <f>'Master BOM'!D73</f>
        <v/>
      </c>
      <c r="E18" s="13">
        <f>'Master BOM'!E73</f>
        <v/>
      </c>
      <c r="F18" s="12">
        <f>'Master BOM'!P73</f>
        <v/>
      </c>
      <c r="G18" s="31">
        <f>'Master BOM'!L73</f>
        <v/>
      </c>
      <c r="H18" s="31">
        <f>'Master BOM'!M73</f>
        <v/>
      </c>
      <c r="I18" s="31">
        <f>'Master BOM'!N73</f>
        <v/>
      </c>
      <c r="J18" s="13">
        <f>'Master BOM'!S73</f>
        <v/>
      </c>
    </row>
    <row r="19" ht="28" customHeight="1">
      <c r="A19" s="33" t="n">
        <v>8</v>
      </c>
      <c r="B19" s="12">
        <f>'Master BOM'!A5</f>
        <v/>
      </c>
      <c r="C19" s="12">
        <f>'Master BOM'!B5</f>
        <v/>
      </c>
      <c r="D19" s="13">
        <f>'Master BOM'!D5</f>
        <v/>
      </c>
      <c r="E19" s="13">
        <f>'Master BOM'!E5</f>
        <v/>
      </c>
      <c r="F19" s="12">
        <f>'Master BOM'!P5</f>
        <v/>
      </c>
      <c r="G19" s="31">
        <f>'Master BOM'!L5</f>
        <v/>
      </c>
      <c r="H19" s="31">
        <f>'Master BOM'!M5</f>
        <v/>
      </c>
      <c r="I19" s="31">
        <f>'Master BOM'!N5</f>
        <v/>
      </c>
      <c r="J19" s="13">
        <f>'Master BOM'!S5</f>
        <v/>
      </c>
    </row>
    <row r="20" ht="28" customHeight="1">
      <c r="A20" s="33" t="n">
        <v>8</v>
      </c>
      <c r="B20" s="12">
        <f>'Master BOM'!A23</f>
        <v/>
      </c>
      <c r="C20" s="12">
        <f>'Master BOM'!B23</f>
        <v/>
      </c>
      <c r="D20" s="13">
        <f>'Master BOM'!D23</f>
        <v/>
      </c>
      <c r="E20" s="13">
        <f>'Master BOM'!E23</f>
        <v/>
      </c>
      <c r="F20" s="12">
        <f>'Master BOM'!P23</f>
        <v/>
      </c>
      <c r="G20" s="31">
        <f>'Master BOM'!L23</f>
        <v/>
      </c>
      <c r="H20" s="31">
        <f>'Master BOM'!M23</f>
        <v/>
      </c>
      <c r="I20" s="31">
        <f>'Master BOM'!N23</f>
        <v/>
      </c>
      <c r="J20" s="13">
        <f>'Master BOM'!S23</f>
        <v/>
      </c>
    </row>
    <row r="21" ht="28" customHeight="1">
      <c r="A21" s="33" t="n">
        <v>8</v>
      </c>
      <c r="B21" s="12">
        <f>'Master BOM'!A46</f>
        <v/>
      </c>
      <c r="C21" s="12">
        <f>'Master BOM'!B46</f>
        <v/>
      </c>
      <c r="D21" s="13">
        <f>'Master BOM'!D46</f>
        <v/>
      </c>
      <c r="E21" s="13">
        <f>'Master BOM'!E46</f>
        <v/>
      </c>
      <c r="F21" s="12">
        <f>'Master BOM'!P46</f>
        <v/>
      </c>
      <c r="G21" s="31">
        <f>'Master BOM'!L46</f>
        <v/>
      </c>
      <c r="H21" s="31">
        <f>'Master BOM'!M46</f>
        <v/>
      </c>
      <c r="I21" s="31">
        <f>'Master BOM'!N46</f>
        <v/>
      </c>
      <c r="J21" s="13">
        <f>'Master BOM'!S46</f>
        <v/>
      </c>
    </row>
    <row r="22" ht="28" customHeight="1">
      <c r="A22" s="33" t="n">
        <v>8</v>
      </c>
      <c r="B22" s="12">
        <f>'Master BOM'!A69</f>
        <v/>
      </c>
      <c r="C22" s="12">
        <f>'Master BOM'!B69</f>
        <v/>
      </c>
      <c r="D22" s="13">
        <f>'Master BOM'!D69</f>
        <v/>
      </c>
      <c r="E22" s="13">
        <f>'Master BOM'!E69</f>
        <v/>
      </c>
      <c r="F22" s="12">
        <f>'Master BOM'!P69</f>
        <v/>
      </c>
      <c r="G22" s="31">
        <f>'Master BOM'!L69</f>
        <v/>
      </c>
      <c r="H22" s="31">
        <f>'Master BOM'!M69</f>
        <v/>
      </c>
      <c r="I22" s="31">
        <f>'Master BOM'!N69</f>
        <v/>
      </c>
      <c r="J22" s="13">
        <f>'Master BOM'!S69</f>
        <v/>
      </c>
    </row>
    <row r="23" ht="28" customHeight="1">
      <c r="A23" s="33" t="n">
        <v>6</v>
      </c>
      <c r="B23" s="12">
        <f>'Master BOM'!A18</f>
        <v/>
      </c>
      <c r="C23" s="12">
        <f>'Master BOM'!B18</f>
        <v/>
      </c>
      <c r="D23" s="13">
        <f>'Master BOM'!D18</f>
        <v/>
      </c>
      <c r="E23" s="13">
        <f>'Master BOM'!E18</f>
        <v/>
      </c>
      <c r="F23" s="12">
        <f>'Master BOM'!P18</f>
        <v/>
      </c>
      <c r="G23" s="31">
        <f>'Master BOM'!L18</f>
        <v/>
      </c>
      <c r="H23" s="31">
        <f>'Master BOM'!M18</f>
        <v/>
      </c>
      <c r="I23" s="31">
        <f>'Master BOM'!N18</f>
        <v/>
      </c>
      <c r="J23" s="13">
        <f>'Master BOM'!S18</f>
        <v/>
      </c>
    </row>
    <row r="24">
      <c r="A24" s="33" t="n">
        <v>6</v>
      </c>
      <c r="B24" s="12">
        <f>'Master BOM'!A57</f>
        <v/>
      </c>
      <c r="C24" s="12">
        <f>'Master BOM'!B57</f>
        <v/>
      </c>
      <c r="D24" s="13">
        <f>'Master BOM'!D57</f>
        <v/>
      </c>
      <c r="E24" s="13">
        <f>'Master BOM'!E57</f>
        <v/>
      </c>
      <c r="F24" s="12">
        <f>'Master BOM'!P57</f>
        <v/>
      </c>
      <c r="G24" s="31">
        <f>'Master BOM'!L57</f>
        <v/>
      </c>
      <c r="H24" s="31">
        <f>'Master BOM'!M57</f>
        <v/>
      </c>
      <c r="I24" s="31">
        <f>'Master BOM'!N57</f>
        <v/>
      </c>
      <c r="J24" s="13">
        <f>'Master BOM'!S57</f>
        <v/>
      </c>
    </row>
    <row r="25" ht="28" customHeight="1">
      <c r="A25" s="33" t="n">
        <v>6</v>
      </c>
      <c r="B25" s="12">
        <f>'Master BOM'!A63</f>
        <v/>
      </c>
      <c r="C25" s="12">
        <f>'Master BOM'!B63</f>
        <v/>
      </c>
      <c r="D25" s="13">
        <f>'Master BOM'!D63</f>
        <v/>
      </c>
      <c r="E25" s="13">
        <f>'Master BOM'!E63</f>
        <v/>
      </c>
      <c r="F25" s="12">
        <f>'Master BOM'!P63</f>
        <v/>
      </c>
      <c r="G25" s="31">
        <f>'Master BOM'!L63</f>
        <v/>
      </c>
      <c r="H25" s="31">
        <f>'Master BOM'!M63</f>
        <v/>
      </c>
      <c r="I25" s="31">
        <f>'Master BOM'!N63</f>
        <v/>
      </c>
      <c r="J25" s="13">
        <f>'Master BOM'!S63</f>
        <v/>
      </c>
    </row>
    <row r="26" ht="28" customHeight="1">
      <c r="A26" s="33" t="n">
        <v>6</v>
      </c>
      <c r="B26" s="12">
        <f>'Master BOM'!A72</f>
        <v/>
      </c>
      <c r="C26" s="12">
        <f>'Master BOM'!B72</f>
        <v/>
      </c>
      <c r="D26" s="13">
        <f>'Master BOM'!D72</f>
        <v/>
      </c>
      <c r="E26" s="13">
        <f>'Master BOM'!E72</f>
        <v/>
      </c>
      <c r="F26" s="12">
        <f>'Master BOM'!P72</f>
        <v/>
      </c>
      <c r="G26" s="31">
        <f>'Master BOM'!L72</f>
        <v/>
      </c>
      <c r="H26" s="31">
        <f>'Master BOM'!M72</f>
        <v/>
      </c>
      <c r="I26" s="31">
        <f>'Master BOM'!N72</f>
        <v/>
      </c>
      <c r="J26" s="13">
        <f>'Master BOM'!S72</f>
        <v/>
      </c>
    </row>
    <row r="27" ht="28" customHeight="1">
      <c r="A27" s="33" t="n">
        <v>6</v>
      </c>
      <c r="B27" s="12">
        <f>'Master BOM'!A76</f>
        <v/>
      </c>
      <c r="C27" s="12">
        <f>'Master BOM'!B76</f>
        <v/>
      </c>
      <c r="D27" s="13">
        <f>'Master BOM'!D76</f>
        <v/>
      </c>
      <c r="E27" s="13">
        <f>'Master BOM'!E76</f>
        <v/>
      </c>
      <c r="F27" s="12">
        <f>'Master BOM'!P76</f>
        <v/>
      </c>
      <c r="G27" s="31">
        <f>'Master BOM'!L76</f>
        <v/>
      </c>
      <c r="H27" s="31">
        <f>'Master BOM'!M76</f>
        <v/>
      </c>
      <c r="I27" s="31">
        <f>'Master BOM'!N76</f>
        <v/>
      </c>
      <c r="J27" s="13">
        <f>'Master BOM'!S76</f>
        <v/>
      </c>
    </row>
    <row r="28" ht="42" customHeight="1">
      <c r="A28" s="33" t="n">
        <v>6</v>
      </c>
      <c r="B28" s="12">
        <f>'Master BOM'!A80</f>
        <v/>
      </c>
      <c r="C28" s="12">
        <f>'Master BOM'!B80</f>
        <v/>
      </c>
      <c r="D28" s="13">
        <f>'Master BOM'!D80</f>
        <v/>
      </c>
      <c r="E28" s="13">
        <f>'Master BOM'!E80</f>
        <v/>
      </c>
      <c r="F28" s="12">
        <f>'Master BOM'!P80</f>
        <v/>
      </c>
      <c r="G28" s="31">
        <f>'Master BOM'!L80</f>
        <v/>
      </c>
      <c r="H28" s="31">
        <f>'Master BOM'!M80</f>
        <v/>
      </c>
      <c r="I28" s="31">
        <f>'Master BOM'!N80</f>
        <v/>
      </c>
      <c r="J28" s="13">
        <f>'Master BOM'!S80</f>
        <v/>
      </c>
    </row>
    <row r="29" ht="28" customHeight="1">
      <c r="A29" s="33" t="n">
        <v>5</v>
      </c>
      <c r="B29" s="12">
        <f>'Master BOM'!A64</f>
        <v/>
      </c>
      <c r="C29" s="12">
        <f>'Master BOM'!B64</f>
        <v/>
      </c>
      <c r="D29" s="13">
        <f>'Master BOM'!D64</f>
        <v/>
      </c>
      <c r="E29" s="13">
        <f>'Master BOM'!E64</f>
        <v/>
      </c>
      <c r="F29" s="12">
        <f>'Master BOM'!P64</f>
        <v/>
      </c>
      <c r="G29" s="31">
        <f>'Master BOM'!L64</f>
        <v/>
      </c>
      <c r="H29" s="31">
        <f>'Master BOM'!M64</f>
        <v/>
      </c>
      <c r="I29" s="31">
        <f>'Master BOM'!N64</f>
        <v/>
      </c>
      <c r="J29" s="13">
        <f>'Master BOM'!S64</f>
        <v/>
      </c>
    </row>
    <row r="30">
      <c r="A30" s="33" t="n">
        <v>4</v>
      </c>
      <c r="B30" s="12">
        <f>'Master BOM'!A52</f>
        <v/>
      </c>
      <c r="C30" s="12">
        <f>'Master BOM'!B52</f>
        <v/>
      </c>
      <c r="D30" s="13">
        <f>'Master BOM'!D52</f>
        <v/>
      </c>
      <c r="E30" s="13">
        <f>'Master BOM'!E52</f>
        <v/>
      </c>
      <c r="F30" s="12">
        <f>'Master BOM'!P52</f>
        <v/>
      </c>
      <c r="G30" s="31">
        <f>'Master BOM'!L52</f>
        <v/>
      </c>
      <c r="H30" s="31">
        <f>'Master BOM'!M52</f>
        <v/>
      </c>
      <c r="I30" s="31">
        <f>'Master BOM'!N52</f>
        <v/>
      </c>
      <c r="J30" s="13">
        <f>'Master BOM'!S52</f>
        <v/>
      </c>
    </row>
    <row r="31" ht="28" customHeight="1">
      <c r="A31" s="33" t="n">
        <v>4</v>
      </c>
      <c r="B31" s="12">
        <f>'Master BOM'!A54</f>
        <v/>
      </c>
      <c r="C31" s="12">
        <f>'Master BOM'!B54</f>
        <v/>
      </c>
      <c r="D31" s="13">
        <f>'Master BOM'!D54</f>
        <v/>
      </c>
      <c r="E31" s="13">
        <f>'Master BOM'!E54</f>
        <v/>
      </c>
      <c r="F31" s="12">
        <f>'Master BOM'!P54</f>
        <v/>
      </c>
      <c r="G31" s="31">
        <f>'Master BOM'!L54</f>
        <v/>
      </c>
      <c r="H31" s="31">
        <f>'Master BOM'!M54</f>
        <v/>
      </c>
      <c r="I31" s="31">
        <f>'Master BOM'!N54</f>
        <v/>
      </c>
      <c r="J31" s="13">
        <f>'Master BOM'!S54</f>
        <v/>
      </c>
    </row>
    <row r="32" ht="28" customHeight="1">
      <c r="A32" s="33" t="n">
        <v>4</v>
      </c>
      <c r="B32" s="12">
        <f>'Master BOM'!A56</f>
        <v/>
      </c>
      <c r="C32" s="12">
        <f>'Master BOM'!B56</f>
        <v/>
      </c>
      <c r="D32" s="13">
        <f>'Master BOM'!D56</f>
        <v/>
      </c>
      <c r="E32" s="13">
        <f>'Master BOM'!E56</f>
        <v/>
      </c>
      <c r="F32" s="12">
        <f>'Master BOM'!P56</f>
        <v/>
      </c>
      <c r="G32" s="31">
        <f>'Master BOM'!L56</f>
        <v/>
      </c>
      <c r="H32" s="31">
        <f>'Master BOM'!M56</f>
        <v/>
      </c>
      <c r="I32" s="31">
        <f>'Master BOM'!N56</f>
        <v/>
      </c>
      <c r="J32" s="13">
        <f>'Master BOM'!S56</f>
        <v/>
      </c>
    </row>
    <row r="33" ht="28" customHeight="1">
      <c r="A33" s="33" t="n">
        <v>4</v>
      </c>
      <c r="B33" s="12">
        <f>'Master BOM'!A104</f>
        <v/>
      </c>
      <c r="C33" s="12">
        <f>'Master BOM'!B104</f>
        <v/>
      </c>
      <c r="D33" s="13">
        <f>'Master BOM'!D104</f>
        <v/>
      </c>
      <c r="E33" s="13">
        <f>'Master BOM'!E104</f>
        <v/>
      </c>
      <c r="F33" s="12">
        <f>'Master BOM'!P104</f>
        <v/>
      </c>
      <c r="G33" s="31">
        <f>'Master BOM'!L104</f>
        <v/>
      </c>
      <c r="H33" s="31">
        <f>'Master BOM'!M104</f>
        <v/>
      </c>
      <c r="I33" s="31">
        <f>'Master BOM'!N104</f>
        <v/>
      </c>
      <c r="J33" s="13">
        <f>'Master BOM'!S104</f>
        <v/>
      </c>
    </row>
    <row r="35">
      <c r="D35" s="10" t="inlineStr">
        <is>
          <t>Lead-time figures are estimates. Confirm with each vendor at time of quote — semiconductor and LiDAR lead times move a lot.</t>
        </is>
      </c>
    </row>
    <row r="36">
      <c r="D36" s="10" t="inlineStr">
        <is>
          <t>A $0 in a tier column means that item is not part of that tier's configuration. Filter the tier column you are funding to non-zero to get your own order list.</t>
        </is>
      </c>
    </row>
  </sheetData>
  <autoFilter ref="A4:J33"/>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23"/>
  <sheetViews>
    <sheetView zoomScaleNormal="100" workbookViewId="0">
      <pane ySplit="4" topLeftCell="A5" activePane="bottomLeft" state="frozen"/>
      <selection pane="bottomLeft" activeCell="A1" sqref="A1"/>
    </sheetView>
  </sheetViews>
  <sheetFormatPr baseColWidth="10" defaultColWidth="8.6640625" defaultRowHeight="15"/>
  <cols>
    <col width="26" customWidth="1" min="1" max="1"/>
    <col width="36" customWidth="1" min="2" max="2"/>
    <col width="26" customWidth="1" min="3" max="3"/>
    <col width="14" customWidth="1" min="4" max="4"/>
    <col width="58" customWidth="1" min="5" max="5"/>
    <col width="60" customWidth="1" min="6" max="6"/>
  </cols>
  <sheetData>
    <row r="1" ht="18" customHeight="1">
      <c r="A1" s="9" t="inlineStr">
        <is>
          <t>SPONSORSHIP TARGETS</t>
        </is>
      </c>
    </row>
    <row r="2">
      <c r="A2" s="10" t="inlineStr">
        <is>
          <t>Hardware and software that FS teams routinely get in kind. Apply 6-9 months before you need the part. Assign each ask to the role that owns the item so the technical conversation is with the right person.</t>
        </is>
      </c>
    </row>
    <row r="4" ht="31.5" customHeight="1">
      <c r="A4" s="11" t="inlineStr">
        <is>
          <t>Vendor</t>
        </is>
      </c>
      <c r="B4" s="11" t="inlineStr">
        <is>
          <t>What to ask for</t>
        </is>
      </c>
      <c r="C4" s="11" t="inlineStr">
        <is>
          <t>Owning role</t>
        </is>
      </c>
      <c r="D4" s="11" t="inlineStr">
        <is>
          <t>Likelihood</t>
        </is>
      </c>
      <c r="E4" s="11" t="inlineStr">
        <is>
          <t>Why they are a fit</t>
        </is>
      </c>
      <c r="F4" s="11" t="inlineStr">
        <is>
          <t>How to approach</t>
        </is>
      </c>
    </row>
    <row r="5" ht="28" customHeight="1">
      <c r="A5" s="12" t="inlineStr">
        <is>
          <t>SBG Systems</t>
        </is>
      </c>
      <c r="B5" s="13" t="inlineStr">
        <is>
          <t>Ellipse-D INS/GNSS</t>
        </is>
      </c>
      <c r="C5" s="12" t="inlineStr">
        <is>
          <t>Mapping — Angel</t>
        </is>
      </c>
      <c r="D5" s="34" t="inlineStr">
        <is>
          <t>HIGH</t>
        </is>
      </c>
      <c r="E5" s="13" t="inlineStr">
        <is>
          <t>Runs an education/sponsorship programme; used by AMZ, Chalmers, TUfast, Zurich UAS. ITAR-free.</t>
        </is>
      </c>
      <c r="F5" s="13" t="inlineStr">
        <is>
          <t>Apply 6-9 months ahead via their Formula Student form; lead with your project plan and timeline.</t>
        </is>
      </c>
    </row>
    <row r="6" ht="28" customHeight="1">
      <c r="A6" s="12" t="inlineStr">
        <is>
          <t>VectorNav</t>
        </is>
      </c>
      <c r="B6" s="13" t="inlineStr">
        <is>
          <t>VN-300 dual-GNSS/INS</t>
        </is>
      </c>
      <c r="C6" s="12" t="inlineStr">
        <is>
          <t>Mapping — Angel</t>
        </is>
      </c>
      <c r="D6" s="34" t="inlineStr">
        <is>
          <t>HIGH</t>
        </is>
      </c>
      <c r="E6" s="13" t="inlineStr">
        <is>
          <t>Supports student teams; 0.15 deg static / 0.2 deg dynamic heading at 400Hz.</t>
        </is>
      </c>
      <c r="F6" s="13" t="inlineStr">
        <is>
          <t>Alternative to SBG — apply to both, take whichever lands.</t>
        </is>
      </c>
    </row>
    <row r="7" ht="28" customHeight="1">
      <c r="A7" s="12" t="inlineStr">
        <is>
          <t>NVIDIA</t>
        </is>
      </c>
      <c r="B7" s="13" t="inlineStr">
        <is>
          <t>Jetson AGX Orin, RTX GPUs</t>
        </is>
      </c>
      <c r="C7" s="12" t="inlineStr">
        <is>
          <t>Firmware — Mason / Perception</t>
        </is>
      </c>
      <c r="D7" s="34" t="inlineStr">
        <is>
          <t>HIGH</t>
        </is>
      </c>
      <c r="E7" s="13" t="inlineStr">
        <is>
          <t>Academic hardware seeding programme.</t>
        </is>
      </c>
      <c r="F7" s="13" t="inlineStr">
        <is>
          <t>Apply through the NVIDIA academic/developer programme; a strong technical proposal matters.</t>
        </is>
      </c>
    </row>
    <row r="8" ht="28" customHeight="1">
      <c r="A8" s="12" t="inlineStr">
        <is>
          <t>MathWorks</t>
        </is>
      </c>
      <c r="B8" s="13" t="inlineStr">
        <is>
          <t>MATLAB, Simulink, VD Blockset, MPC Toolbox</t>
        </is>
      </c>
      <c r="C8" s="12" t="inlineStr">
        <is>
          <t>Team-Wide</t>
        </is>
      </c>
      <c r="D8" s="34" t="inlineStr">
        <is>
          <t>VERY HIGH</t>
        </is>
      </c>
      <c r="E8" s="13" t="inlineStr">
        <is>
          <t>Gives free competition licences to Formula Student teams.</t>
        </is>
      </c>
      <c r="F8" s="13" t="inlineStr">
        <is>
          <t>Nearly automatic for registered FS teams — do this in month 1.</t>
        </is>
      </c>
    </row>
    <row r="9" ht="28" customHeight="1">
      <c r="A9" s="12" t="inlineStr">
        <is>
          <t>Speedgoat</t>
        </is>
      </c>
      <c r="B9" s="13" t="inlineStr">
        <is>
          <t>Real-time target / HIL rig</t>
        </is>
      </c>
      <c r="C9" s="12" t="inlineStr">
        <is>
          <t>Testing — Evan</t>
        </is>
      </c>
      <c r="D9" s="34" t="inlineStr">
        <is>
          <t>HIGH</t>
        </is>
      </c>
      <c r="E9" s="13" t="inlineStr">
        <is>
          <t>Explicitly sponsors Formula Student; lists AMZ and Greenteam as references.</t>
        </is>
      </c>
      <c r="F9" s="13" t="inlineStr">
        <is>
          <t>Ask for the HIL rig rather than budgeting US$8k cash.</t>
        </is>
      </c>
    </row>
    <row r="10" ht="28" customHeight="1">
      <c r="A10" s="12" t="inlineStr">
        <is>
          <t>Ouster</t>
        </is>
      </c>
      <c r="B10" s="13" t="inlineStr">
        <is>
          <t>OS1-32 / OS1-128 LiDAR</t>
        </is>
      </c>
      <c r="C10" s="12" t="inlineStr">
        <is>
          <t>Perception</t>
        </is>
      </c>
      <c r="D10" s="12" t="inlineStr">
        <is>
          <t>MEDIUM</t>
        </is>
      </c>
      <c r="E10" s="13" t="inlineStr">
        <is>
          <t>Non-profit pricing (~US$6k vs US$8k list); absorbed Velodyne.</t>
        </is>
      </c>
      <c r="F10" s="13" t="inlineStr">
        <is>
          <t>Ask for both a discount and a loaner; used units on the secondary market are the fallback.</t>
        </is>
      </c>
    </row>
    <row r="11">
      <c r="A11" s="12" t="inlineStr">
        <is>
          <t>Stereolabs</t>
        </is>
      </c>
      <c r="B11" s="13" t="inlineStr">
        <is>
          <t>ZED 2i / ZED X cameras</t>
        </is>
      </c>
      <c r="C11" s="12" t="inlineStr">
        <is>
          <t>Perception</t>
        </is>
      </c>
      <c r="D11" s="12" t="inlineStr">
        <is>
          <t>MEDIUM-HIGH</t>
        </is>
      </c>
      <c r="E11" s="13" t="inlineStr">
        <is>
          <t>Runs a student programme.</t>
        </is>
      </c>
      <c r="F11" s="13" t="inlineStr">
        <is>
          <t>Low-cost ask with a high hit rate — request the ZED X for global shutter.</t>
        </is>
      </c>
    </row>
    <row r="12">
      <c r="A12" s="12" t="inlineStr">
        <is>
          <t>Vector Informatik</t>
        </is>
      </c>
      <c r="B12" s="13" t="inlineStr">
        <is>
          <t>CANoe / CANalyzer, VN interfaces</t>
        </is>
      </c>
      <c r="C12" s="12" t="inlineStr">
        <is>
          <t>Firmware — Mason</t>
        </is>
      </c>
      <c r="D12" s="12" t="inlineStr">
        <is>
          <t>MEDIUM-HIGH</t>
        </is>
      </c>
      <c r="E12" s="13" t="inlineStr">
        <is>
          <t>University and FS programme.</t>
        </is>
      </c>
      <c r="F12" s="13" t="inlineStr">
        <is>
          <t>Ask for the software licence and the hardware interface as a bundle.</t>
        </is>
      </c>
    </row>
    <row r="13">
      <c r="A13" s="12" t="inlineStr">
        <is>
          <t>IPG Automotive</t>
        </is>
      </c>
      <c r="B13" s="13" t="inlineStr">
        <is>
          <t>CarMaker</t>
        </is>
      </c>
      <c r="C13" s="12" t="inlineStr">
        <is>
          <t>Sim — Ethan</t>
        </is>
      </c>
      <c r="D13" s="12" t="inlineStr">
        <is>
          <t>MEDIUM</t>
        </is>
      </c>
      <c r="E13" s="13" t="inlineStr">
        <is>
          <t>Student programme for FS teams.</t>
        </is>
      </c>
      <c r="F13" s="13" t="inlineStr">
        <is>
          <t>Five-figure licence normally — never budget cash for this.</t>
        </is>
      </c>
    </row>
    <row r="14">
      <c r="A14" s="12" t="inlineStr">
        <is>
          <t>dSPACE</t>
        </is>
      </c>
      <c r="B14" s="13" t="inlineStr">
        <is>
          <t>HIL / ASM simulation</t>
        </is>
      </c>
      <c r="C14" s="12" t="inlineStr">
        <is>
          <t>Testing / Sim</t>
        </is>
      </c>
      <c r="D14" s="12" t="inlineStr">
        <is>
          <t>MEDIUM</t>
        </is>
      </c>
      <c r="E14" s="13" t="inlineStr">
        <is>
          <t>University programme.</t>
        </is>
      </c>
      <c r="F14" s="13" t="inlineStr">
        <is>
          <t>Higher barrier; approach after you have a track record.</t>
        </is>
      </c>
    </row>
    <row r="15">
      <c r="A15" s="12" t="inlineStr">
        <is>
          <t>Ansys</t>
        </is>
      </c>
      <c r="B15" s="13" t="inlineStr">
        <is>
          <t>AVxcelerate, simulation suite</t>
        </is>
      </c>
      <c r="C15" s="12" t="inlineStr">
        <is>
          <t>Sim — Ethan</t>
        </is>
      </c>
      <c r="D15" s="12" t="inlineStr">
        <is>
          <t>MEDIUM</t>
        </is>
      </c>
      <c r="E15" s="13" t="inlineStr">
        <is>
          <t>Well-established student team programme.</t>
        </is>
      </c>
      <c r="F15" s="13" t="inlineStr">
        <is>
          <t>Bundle the ask with your mechanical/aero subteam's needs.</t>
        </is>
      </c>
    </row>
    <row r="16" ht="28" customHeight="1">
      <c r="A16" s="12" t="inlineStr">
        <is>
          <t>Maxon</t>
        </is>
      </c>
      <c r="B16" s="13" t="inlineStr">
        <is>
          <t>EC motors, planetary gearheads, EPOS4</t>
        </is>
      </c>
      <c r="C16" s="12" t="inlineStr">
        <is>
          <t>Mech/EE Interface</t>
        </is>
      </c>
      <c r="D16" s="12" t="inlineStr">
        <is>
          <t>MEDIUM</t>
        </is>
      </c>
      <c r="E16" s="13" t="inlineStr">
        <is>
          <t>Documents FS steering and rear-wheel-steer applications.</t>
        </is>
      </c>
      <c r="F16" s="13" t="inlineStr">
        <is>
          <t>Bring measured rack-force data to the conversation — they size the motor with you.</t>
        </is>
      </c>
    </row>
    <row r="17">
      <c r="A17" s="12" t="inlineStr">
        <is>
          <t>Festo / SMC</t>
        </is>
      </c>
      <c r="B17" s="13" t="inlineStr">
        <is>
          <t>Pneumatic cylinders, valves, regulators</t>
        </is>
      </c>
      <c r="C17" s="12" t="inlineStr">
        <is>
          <t>Mech/EE Interface</t>
        </is>
      </c>
      <c r="D17" s="12" t="inlineStr">
        <is>
          <t>MEDIUM</t>
        </is>
      </c>
      <c r="E17" s="13" t="inlineStr">
        <is>
          <t>Standard EBS component suppliers for FS teams.</t>
        </is>
      </c>
      <c r="F17" s="13" t="inlineStr">
        <is>
          <t>Ask for the EBS kit as an in-kind donation; include your FMEA.</t>
        </is>
      </c>
    </row>
    <row r="18">
      <c r="A18" s="12" t="inlineStr">
        <is>
          <t>Dassault / SOLIDWORKS via SAE</t>
        </is>
      </c>
      <c r="B18" s="13" t="inlineStr">
        <is>
          <t>CAD + 3DEXPERIENCE PDM</t>
        </is>
      </c>
      <c r="C18" s="12" t="inlineStr">
        <is>
          <t>Team-Wide</t>
        </is>
      </c>
      <c r="D18" s="12" t="inlineStr">
        <is>
          <t>ALREADY HELD</t>
        </is>
      </c>
      <c r="E18" s="13" t="inlineStr">
        <is>
          <t>SAE Collegiate Design Series sponsorship.</t>
        </is>
      </c>
      <c r="F18" s="13" t="inlineStr">
        <is>
          <t>Keep it under a team email; export data at end of season.</t>
        </is>
      </c>
    </row>
    <row r="19" ht="28" customHeight="1">
      <c r="A19" s="12" t="inlineStr">
        <is>
          <t>Gross-Funk</t>
        </is>
      </c>
      <c r="B19" s="13" t="inlineStr">
        <is>
          <t>RES (GF2000i-codec / T53R98)</t>
        </is>
      </c>
      <c r="C19" s="12" t="inlineStr">
        <is>
          <t>DSO — Caleb</t>
        </is>
      </c>
      <c r="D19" s="12" t="inlineStr">
        <is>
          <t>LOW-MEDIUM</t>
        </is>
      </c>
      <c r="E19" s="13" t="inlineStr">
        <is>
          <t>Mandated unit; Ferchau has sponsored a team's RES before.</t>
        </is>
      </c>
      <c r="F19" s="13" t="inlineStr">
        <is>
          <t>Order regardless of sponsorship outcome — the lead time is the binding constraint.</t>
        </is>
      </c>
    </row>
    <row r="20">
      <c r="A20" s="12" t="inlineStr">
        <is>
          <t>AiM / MoTeC</t>
        </is>
      </c>
      <c r="B20" s="13" t="inlineStr">
        <is>
          <t>DAQ, lap timing</t>
        </is>
      </c>
      <c r="C20" s="12" t="inlineStr">
        <is>
          <t>Testing — Evan</t>
        </is>
      </c>
      <c r="D20" s="12" t="inlineStr">
        <is>
          <t>MEDIUM</t>
        </is>
      </c>
      <c r="E20" s="13" t="inlineStr">
        <is>
          <t>Both support FS teams.</t>
        </is>
      </c>
      <c r="F20" s="13" t="inlineStr">
        <is>
          <t>You may already have a relationship through the EV car.</t>
        </is>
      </c>
    </row>
    <row r="21">
      <c r="A21" s="12" t="inlineStr">
        <is>
          <t>Local machine shops</t>
        </is>
      </c>
      <c r="B21" s="13" t="inlineStr">
        <is>
          <t>CNC sensor mounts, brackets</t>
        </is>
      </c>
      <c r="C21" s="12" t="inlineStr">
        <is>
          <t>Perception / Mech-EE</t>
        </is>
      </c>
      <c r="D21" s="34" t="inlineStr">
        <is>
          <t>HIGH</t>
        </is>
      </c>
      <c r="E21" s="13" t="inlineStr">
        <is>
          <t>Winnipeg-area shops often support student teams in kind.</t>
        </is>
      </c>
      <c r="F21" s="13" t="inlineStr">
        <is>
          <t>In-kind machining is the most under-used sponsorship channel.</t>
        </is>
      </c>
    </row>
    <row r="23">
      <c r="A23" s="10" t="inlineStr">
        <is>
          <t>If the SBG/VectorNav, NVIDIA and MathWorks asks all land, you jump from Tier 1 to Tier 2 capability without spending more cash — reallocate the savings to the EBS, the steering actuator and test days.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2026-08-19T00:44:13Z</dcterms:created>
  <dcterms:modified xsi:type="dcterms:W3CDTF">2026-08-26T21:06:51Z</dcterms:modified>
  <cp:lastModifiedBy>Caleb Pollreis</cp:lastModifiedBy>
  <cp:revision>0</cp:revision>
</cp:coreProperties>
</file>